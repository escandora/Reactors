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8e33478b2836ef08/Desktop/Reactors/"/>
    </mc:Choice>
  </mc:AlternateContent>
  <xr:revisionPtr revIDLastSave="1" documentId="11_9B46630FB01AFBDCAB74D7B9A662BD014835823F" xr6:coauthVersionLast="47" xr6:coauthVersionMax="47" xr10:uidLastSave="{9B688E52-0CE3-4FD7-A114-E9A0172422B6}"/>
  <bookViews>
    <workbookView xWindow="22750" yWindow="-1100" windowWidth="23910" windowHeight="14880" tabRatio="614" xr2:uid="{00000000-000D-0000-FFFF-FFFF00000000}"/>
  </bookViews>
  <sheets>
    <sheet name="Design" sheetId="1" r:id="rId1"/>
    <sheet name="Layer 60" sheetId="2" r:id="rId2"/>
    <sheet name="800815 for ref" sheetId="3" r:id="rId3"/>
    <sheet name="Reactor Stats" sheetId="4" r:id="rId4"/>
  </sheets>
  <externalReferences>
    <externalReference r:id="rId5"/>
  </externalReferences>
  <definedNames>
    <definedName name="BTL" localSheetId="2">[1]Wdg!$B$55</definedName>
    <definedName name="BTL" localSheetId="3">[1]Wdg!$B$55</definedName>
    <definedName name="BTL">#REF!</definedName>
    <definedName name="BTT" localSheetId="2">[1]Wdg!$B$56</definedName>
    <definedName name="BTT" localSheetId="3">[1]Wdg!$B$56</definedName>
    <definedName name="BTT">#REF!</definedName>
    <definedName name="CTL" localSheetId="2">[1]Wdg!$C$55</definedName>
    <definedName name="CTL" localSheetId="3">[1]Wdg!$C$55</definedName>
    <definedName name="CTL">#REF!</definedName>
    <definedName name="CTT" localSheetId="2">[1]Wdg!$C$56</definedName>
    <definedName name="CTT" localSheetId="3">[1]Wdg!$C$56</definedName>
    <definedName name="CTT">#REF!</definedName>
    <definedName name="DTL" localSheetId="2">[1]Wdg!$D$55</definedName>
    <definedName name="DTL" localSheetId="3">[1]Wdg!$D$55</definedName>
    <definedName name="DTL">#REF!</definedName>
    <definedName name="DTT" localSheetId="2">[1]Wdg!$D$56</definedName>
    <definedName name="DTT" localSheetId="3">[1]Wdg!$D$56</definedName>
    <definedName name="DTT">#REF!</definedName>
    <definedName name="ETL" localSheetId="2">[1]Wdg!$E$55</definedName>
    <definedName name="ETL" localSheetId="3">[1]Wdg!$E$55</definedName>
    <definedName name="ETL">#REF!</definedName>
    <definedName name="ETT" localSheetId="2">[1]Wdg!$E$57</definedName>
    <definedName name="ETT" localSheetId="3">[1]Wdg!$E$57</definedName>
    <definedName name="ETT">#REF!</definedName>
    <definedName name="FTL" localSheetId="2">[1]Wdg!$F$55</definedName>
    <definedName name="FTL" localSheetId="3">[1]Wdg!$F$55</definedName>
    <definedName name="FTL">#REF!</definedName>
    <definedName name="FTT" localSheetId="2">[1]Wdg!$F$57</definedName>
    <definedName name="FTT" localSheetId="3">[1]Wdg!$F$57</definedName>
    <definedName name="FTT">#REF!</definedName>
    <definedName name="GTL" localSheetId="2">[1]Wdg!$G$55</definedName>
    <definedName name="GTL" localSheetId="3">[1]Wdg!$G$55</definedName>
    <definedName name="GTL">#REF!</definedName>
    <definedName name="GTT" localSheetId="2">[1]Wdg!$G$57</definedName>
    <definedName name="GTT" localSheetId="3">[1]Wdg!$G$57</definedName>
    <definedName name="GTT">#REF!</definedName>
    <definedName name="HTL" localSheetId="2">[1]Wdg!$H$55</definedName>
    <definedName name="HTL" localSheetId="3">[1]Wdg!$H$55</definedName>
    <definedName name="HTL">#REF!</definedName>
    <definedName name="HTT" localSheetId="2">[1]Wdg!$H$57</definedName>
    <definedName name="HTT" localSheetId="3">[1]Wdg!$H$57</definedName>
    <definedName name="HTT">#REF!</definedName>
    <definedName name="maxno" localSheetId="2">[1]Wdg!$I$54</definedName>
    <definedName name="maxno" localSheetId="3">[1]Wdg!$I$54</definedName>
    <definedName name="maxno">#REF!</definedName>
    <definedName name="_xlnm.Print_Area" localSheetId="2">'800815 for ref'!$A$1:$R$35</definedName>
    <definedName name="_xlnm.Print_Area" localSheetId="0">Design!$A$1:$R$35</definedName>
    <definedName name="_xlnm.Print_Area" localSheetId="1">'Layer 60'!$A$1:$R$35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45" i="4" l="1"/>
  <c r="U44" i="4"/>
  <c r="U43" i="4"/>
  <c r="U42" i="4"/>
  <c r="U41" i="4"/>
  <c r="U40" i="4"/>
  <c r="U39" i="4"/>
  <c r="U38" i="4"/>
  <c r="U37" i="4"/>
  <c r="U36" i="4"/>
  <c r="U35" i="4"/>
  <c r="U34" i="4"/>
  <c r="U33" i="4"/>
  <c r="U32" i="4"/>
  <c r="U31" i="4"/>
  <c r="U30" i="4"/>
  <c r="U29" i="4"/>
  <c r="U28" i="4"/>
  <c r="U27" i="4"/>
  <c r="U26" i="4"/>
  <c r="U25" i="4"/>
  <c r="U24" i="4"/>
  <c r="U23" i="4"/>
  <c r="U22" i="4"/>
  <c r="U21" i="4"/>
  <c r="U20" i="4"/>
  <c r="U19" i="4"/>
  <c r="U18" i="4"/>
  <c r="U17" i="4"/>
  <c r="U16" i="4"/>
  <c r="P42" i="3"/>
  <c r="P44" i="3" s="1"/>
  <c r="F37" i="3"/>
  <c r="D37" i="3"/>
  <c r="T34" i="3"/>
  <c r="T33" i="3"/>
  <c r="T32" i="3"/>
  <c r="T37" i="3" s="1"/>
  <c r="P32" i="3"/>
  <c r="H29" i="3"/>
  <c r="H30" i="3" s="1"/>
  <c r="T26" i="3"/>
  <c r="H24" i="3"/>
  <c r="T23" i="3"/>
  <c r="T25" i="3" s="1"/>
  <c r="T27" i="3" s="1"/>
  <c r="P23" i="3"/>
  <c r="J14" i="3"/>
  <c r="E14" i="3"/>
  <c r="E15" i="3" s="1"/>
  <c r="H12" i="3"/>
  <c r="P11" i="3"/>
  <c r="O11" i="3"/>
  <c r="Q11" i="3" s="1"/>
  <c r="P10" i="3"/>
  <c r="O10" i="3" s="1"/>
  <c r="P9" i="3"/>
  <c r="O9" i="3"/>
  <c r="P8" i="3"/>
  <c r="O8" i="3"/>
  <c r="Q8" i="3" s="1"/>
  <c r="P7" i="3"/>
  <c r="O7" i="3" s="1"/>
  <c r="Q7" i="3" s="1"/>
  <c r="P6" i="3"/>
  <c r="O6" i="3"/>
  <c r="P5" i="3"/>
  <c r="O5" i="3"/>
  <c r="Q5" i="3" s="1"/>
  <c r="B5" i="3"/>
  <c r="B4" i="3"/>
  <c r="D3" i="3" s="1"/>
  <c r="B3" i="3"/>
  <c r="B6" i="3" s="1"/>
  <c r="D1" i="3"/>
  <c r="P42" i="2"/>
  <c r="F37" i="2"/>
  <c r="D37" i="2"/>
  <c r="T34" i="2"/>
  <c r="T33" i="2"/>
  <c r="H29" i="2"/>
  <c r="H30" i="2" s="1"/>
  <c r="T26" i="2"/>
  <c r="J14" i="2"/>
  <c r="E14" i="2"/>
  <c r="H12" i="2"/>
  <c r="R11" i="2"/>
  <c r="N11" i="2" s="1"/>
  <c r="Q11" i="2"/>
  <c r="P11" i="2"/>
  <c r="O11" i="2"/>
  <c r="P10" i="2"/>
  <c r="O10" i="2"/>
  <c r="P9" i="2"/>
  <c r="O9" i="2"/>
  <c r="Q9" i="2" s="1"/>
  <c r="P8" i="2"/>
  <c r="O8" i="2" s="1"/>
  <c r="R8" i="2" s="1"/>
  <c r="P7" i="2"/>
  <c r="O7" i="2"/>
  <c r="R7" i="2" s="1"/>
  <c r="P6" i="2"/>
  <c r="O6" i="2"/>
  <c r="R6" i="2" s="1"/>
  <c r="B6" i="2"/>
  <c r="P32" i="2" s="1"/>
  <c r="P5" i="2"/>
  <c r="O5" i="2" s="1"/>
  <c r="R5" i="2" s="1"/>
  <c r="B5" i="2"/>
  <c r="B4" i="2"/>
  <c r="C2" i="2"/>
  <c r="B2" i="2"/>
  <c r="D1" i="2"/>
  <c r="D3" i="2" s="1"/>
  <c r="P42" i="1"/>
  <c r="P44" i="1" s="1"/>
  <c r="F37" i="1"/>
  <c r="D37" i="1"/>
  <c r="T34" i="1"/>
  <c r="T33" i="1"/>
  <c r="H29" i="1"/>
  <c r="H30" i="1" s="1"/>
  <c r="T26" i="1"/>
  <c r="H24" i="1"/>
  <c r="J14" i="1"/>
  <c r="E14" i="1"/>
  <c r="E15" i="1" s="1"/>
  <c r="H12" i="1"/>
  <c r="P11" i="1"/>
  <c r="O11" i="1"/>
  <c r="Q11" i="1" s="1"/>
  <c r="P10" i="1"/>
  <c r="O10" i="1"/>
  <c r="R10" i="1" s="1"/>
  <c r="P9" i="1"/>
  <c r="O9" i="1"/>
  <c r="R9" i="1" s="1"/>
  <c r="P8" i="1"/>
  <c r="O8" i="1"/>
  <c r="R8" i="1" s="1"/>
  <c r="P7" i="1"/>
  <c r="O7" i="1" s="1"/>
  <c r="Q7" i="1" s="1"/>
  <c r="P6" i="1"/>
  <c r="O6" i="1"/>
  <c r="B6" i="1"/>
  <c r="P32" i="1" s="1"/>
  <c r="P5" i="1"/>
  <c r="O5" i="1"/>
  <c r="R5" i="1" s="1"/>
  <c r="B5" i="1"/>
  <c r="B4" i="1"/>
  <c r="D3" i="1" s="1"/>
  <c r="D1" i="1"/>
  <c r="R10" i="3" l="1"/>
  <c r="Q10" i="3"/>
  <c r="C2" i="1"/>
  <c r="I9" i="1" s="1"/>
  <c r="J9" i="1" s="1"/>
  <c r="B2" i="1"/>
  <c r="I7" i="1"/>
  <c r="J7" i="1" s="1"/>
  <c r="I10" i="1"/>
  <c r="J10" i="1" s="1"/>
  <c r="I6" i="1"/>
  <c r="J6" i="1" s="1"/>
  <c r="N5" i="1"/>
  <c r="Q6" i="3"/>
  <c r="R6" i="3"/>
  <c r="N6" i="3" s="1"/>
  <c r="P46" i="2"/>
  <c r="P34" i="2"/>
  <c r="P37" i="2" s="1"/>
  <c r="P25" i="2"/>
  <c r="T42" i="2"/>
  <c r="T46" i="2" s="1"/>
  <c r="R7" i="3"/>
  <c r="N7" i="3" s="1"/>
  <c r="C2" i="3"/>
  <c r="I10" i="3" s="1"/>
  <c r="J10" i="3" s="1"/>
  <c r="I9" i="3"/>
  <c r="J9" i="3" s="1"/>
  <c r="B2" i="3"/>
  <c r="N6" i="2"/>
  <c r="R10" i="2"/>
  <c r="Q10" i="2"/>
  <c r="E16" i="1"/>
  <c r="R9" i="3"/>
  <c r="Q9" i="3"/>
  <c r="B19" i="1"/>
  <c r="H24" i="2"/>
  <c r="H31" i="2"/>
  <c r="Q9" i="1"/>
  <c r="N9" i="1" s="1"/>
  <c r="P23" i="1"/>
  <c r="E15" i="2"/>
  <c r="B19" i="2"/>
  <c r="T23" i="1"/>
  <c r="T25" i="1" s="1"/>
  <c r="T27" i="1" s="1"/>
  <c r="B21" i="2"/>
  <c r="I11" i="2"/>
  <c r="J11" i="2" s="1"/>
  <c r="I6" i="2"/>
  <c r="J6" i="2" s="1"/>
  <c r="D2" i="2"/>
  <c r="D4" i="2" s="1"/>
  <c r="B7" i="2" s="1"/>
  <c r="B20" i="2"/>
  <c r="Q8" i="2"/>
  <c r="N8" i="2" s="1"/>
  <c r="P44" i="2"/>
  <c r="P43" i="2"/>
  <c r="R6" i="1"/>
  <c r="Q6" i="1"/>
  <c r="I7" i="2"/>
  <c r="J7" i="2" s="1"/>
  <c r="I9" i="2"/>
  <c r="J9" i="2" s="1"/>
  <c r="E16" i="3"/>
  <c r="Q5" i="2"/>
  <c r="N5" i="2" s="1"/>
  <c r="R7" i="1"/>
  <c r="N7" i="1" s="1"/>
  <c r="T32" i="1"/>
  <c r="T37" i="1" s="1"/>
  <c r="Q5" i="1"/>
  <c r="Q8" i="1"/>
  <c r="N8" i="1" s="1"/>
  <c r="R11" i="3"/>
  <c r="N11" i="3" s="1"/>
  <c r="R5" i="3"/>
  <c r="N5" i="3" s="1"/>
  <c r="R8" i="3"/>
  <c r="N8" i="3" s="1"/>
  <c r="P43" i="1"/>
  <c r="Q6" i="2"/>
  <c r="R9" i="2"/>
  <c r="N9" i="2" s="1"/>
  <c r="R11" i="1"/>
  <c r="N11" i="1" s="1"/>
  <c r="I8" i="2"/>
  <c r="J8" i="2" s="1"/>
  <c r="Q10" i="1"/>
  <c r="N10" i="1" s="1"/>
  <c r="H31" i="1"/>
  <c r="I10" i="2"/>
  <c r="J10" i="2" s="1"/>
  <c r="P43" i="3"/>
  <c r="I5" i="2"/>
  <c r="J5" i="2" s="1"/>
  <c r="H31" i="3"/>
  <c r="Q7" i="2"/>
  <c r="N7" i="2" s="1"/>
  <c r="P49" i="1" l="1"/>
  <c r="K9" i="3"/>
  <c r="I6" i="3"/>
  <c r="J6" i="3" s="1"/>
  <c r="K6" i="3" s="1"/>
  <c r="I8" i="3"/>
  <c r="J8" i="3" s="1"/>
  <c r="K8" i="3" s="1"/>
  <c r="H17" i="1"/>
  <c r="H28" i="1"/>
  <c r="N17" i="1"/>
  <c r="N10" i="3"/>
  <c r="P46" i="3"/>
  <c r="P49" i="3" s="1"/>
  <c r="P34" i="3"/>
  <c r="P37" i="3" s="1"/>
  <c r="P25" i="3"/>
  <c r="P28" i="3" s="1"/>
  <c r="T42" i="3"/>
  <c r="T46" i="3" s="1"/>
  <c r="P25" i="1"/>
  <c r="P46" i="1"/>
  <c r="T42" i="1"/>
  <c r="T46" i="1" s="1"/>
  <c r="P34" i="1"/>
  <c r="P37" i="1" s="1"/>
  <c r="I5" i="1"/>
  <c r="J5" i="1" s="1"/>
  <c r="I21" i="3"/>
  <c r="H28" i="3"/>
  <c r="H17" i="3"/>
  <c r="N17" i="3"/>
  <c r="B22" i="2"/>
  <c r="D2" i="1"/>
  <c r="D4" i="1" s="1"/>
  <c r="B7" i="1" s="1"/>
  <c r="B21" i="1"/>
  <c r="B22" i="1" s="1"/>
  <c r="B20" i="1"/>
  <c r="I8" i="1"/>
  <c r="J8" i="1" s="1"/>
  <c r="K8" i="1" s="1"/>
  <c r="I11" i="1"/>
  <c r="J11" i="1" s="1"/>
  <c r="K11" i="1" s="1"/>
  <c r="I21" i="1"/>
  <c r="H16" i="3"/>
  <c r="K10" i="3" s="1"/>
  <c r="T32" i="2"/>
  <c r="T37" i="2" s="1"/>
  <c r="P23" i="2"/>
  <c r="P28" i="2" s="1"/>
  <c r="T23" i="2"/>
  <c r="T25" i="2" s="1"/>
  <c r="T27" i="2" s="1"/>
  <c r="E16" i="2"/>
  <c r="I21" i="2"/>
  <c r="H21" i="2"/>
  <c r="P49" i="2"/>
  <c r="P28" i="1"/>
  <c r="B19" i="3"/>
  <c r="B21" i="3"/>
  <c r="B20" i="3"/>
  <c r="D2" i="3"/>
  <c r="D4" i="3" s="1"/>
  <c r="B7" i="3" s="1"/>
  <c r="I11" i="3"/>
  <c r="J11" i="3" s="1"/>
  <c r="K11" i="3" s="1"/>
  <c r="I7" i="3"/>
  <c r="J7" i="3" s="1"/>
  <c r="K7" i="3" s="1"/>
  <c r="N9" i="3"/>
  <c r="H21" i="3"/>
  <c r="H21" i="1"/>
  <c r="N10" i="2"/>
  <c r="H16" i="1"/>
  <c r="K6" i="1" s="1"/>
  <c r="N6" i="1"/>
  <c r="I5" i="3"/>
  <c r="J5" i="3" s="1"/>
  <c r="K5" i="3" s="1"/>
  <c r="K7" i="1" l="1"/>
  <c r="M5" i="3"/>
  <c r="L5" i="3" s="1"/>
  <c r="C23" i="3"/>
  <c r="C25" i="3" s="1"/>
  <c r="M10" i="3"/>
  <c r="L10" i="3" s="1"/>
  <c r="M8" i="3"/>
  <c r="L8" i="3" s="1"/>
  <c r="M11" i="3"/>
  <c r="L11" i="3" s="1"/>
  <c r="M7" i="3"/>
  <c r="L7" i="3" s="1"/>
  <c r="M6" i="3"/>
  <c r="L6" i="3" s="1"/>
  <c r="M9" i="3"/>
  <c r="L9" i="3" s="1"/>
  <c r="H18" i="3"/>
  <c r="K5" i="1"/>
  <c r="K10" i="1"/>
  <c r="M9" i="1"/>
  <c r="L9" i="1" s="1"/>
  <c r="M10" i="1"/>
  <c r="L10" i="1" s="1"/>
  <c r="C23" i="1"/>
  <c r="C25" i="1" s="1"/>
  <c r="M7" i="1"/>
  <c r="L7" i="1" s="1"/>
  <c r="M8" i="1"/>
  <c r="L8" i="1" s="1"/>
  <c r="M5" i="1"/>
  <c r="L5" i="1" s="1"/>
  <c r="M11" i="1"/>
  <c r="L11" i="1" s="1"/>
  <c r="M6" i="1"/>
  <c r="L6" i="1" s="1"/>
  <c r="H18" i="1" s="1"/>
  <c r="H17" i="2"/>
  <c r="N17" i="2"/>
  <c r="H28" i="2"/>
  <c r="H16" i="2"/>
  <c r="K9" i="1"/>
  <c r="B22" i="3"/>
  <c r="H19" i="1" l="1"/>
  <c r="I20" i="1" s="1"/>
  <c r="I22" i="1" s="1"/>
  <c r="I23" i="1" s="1"/>
  <c r="H19" i="3"/>
  <c r="I20" i="3" s="1"/>
  <c r="I22" i="3" s="1"/>
  <c r="I23" i="3" s="1"/>
  <c r="H20" i="3"/>
  <c r="K5" i="2"/>
  <c r="K9" i="2"/>
  <c r="K8" i="2"/>
  <c r="K7" i="2"/>
  <c r="K6" i="2"/>
  <c r="K11" i="2"/>
  <c r="K10" i="2"/>
  <c r="M6" i="2"/>
  <c r="L6" i="2" s="1"/>
  <c r="M8" i="2"/>
  <c r="L8" i="2" s="1"/>
  <c r="M5" i="2"/>
  <c r="L5" i="2" s="1"/>
  <c r="M11" i="2"/>
  <c r="L11" i="2" s="1"/>
  <c r="C23" i="2"/>
  <c r="C25" i="2" s="1"/>
  <c r="M9" i="2"/>
  <c r="L9" i="2" s="1"/>
  <c r="M7" i="2"/>
  <c r="L7" i="2" s="1"/>
  <c r="H18" i="2" s="1"/>
  <c r="M10" i="2"/>
  <c r="L10" i="2" s="1"/>
  <c r="H19" i="2" l="1"/>
  <c r="I20" i="2" s="1"/>
  <c r="I22" i="2" s="1"/>
  <c r="I23" i="2" s="1"/>
  <c r="E31" i="3"/>
  <c r="H22" i="3"/>
  <c r="H23" i="3" s="1"/>
  <c r="H20" i="1"/>
  <c r="E32" i="3" l="1"/>
  <c r="B33" i="3" s="1"/>
  <c r="B34" i="3"/>
  <c r="H22" i="1"/>
  <c r="H23" i="1" s="1"/>
  <c r="E31" i="1"/>
  <c r="H20" i="2"/>
  <c r="E32" i="1" l="1"/>
  <c r="B33" i="1" s="1"/>
  <c r="B34" i="1"/>
  <c r="E31" i="2"/>
  <c r="H22" i="2"/>
  <c r="H23" i="2" s="1"/>
  <c r="E32" i="2" l="1"/>
  <c r="B33" i="2" s="1"/>
  <c r="B3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Claude</author>
  </authors>
  <commentList>
    <comment ref="H12" authorId="0" shapeId="0" xr:uid="{00000000-0006-0000-0000-000001000000}">
      <text>
        <r>
          <rPr>
            <sz val="10"/>
            <rFont val="Arial"/>
            <family val="2"/>
          </rPr>
          <t xml:space="preserve">single cond.
</t>
        </r>
      </text>
    </comment>
    <comment ref="A34" authorId="1" shapeId="0" xr:uid="{00000000-0006-0000-0000-000002000000}">
      <text>
        <r>
          <rPr>
            <sz val="10"/>
            <rFont val="Arial"/>
            <family val="2"/>
          </rPr>
          <t>B33 uses an empirical model with a fixed 1-hour thermal time constant, which assumes significant heat dissipation during the fault. This is reasonable for longer-duration overloads.
B34 uses an adiabatic model (zero heat loss), which assumes all fault energy stays in the conductor. This is the conservative upper bound and more accurate for short-duration faults (seconds), where the coil has little time to dissipate heat.
The true temperature will fall between these two values. For fault protection decisions, the adiabatic value (B34) is the safer reference.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None</author>
    <author>Claude</author>
  </authors>
  <commentList>
    <comment ref="H12" authorId="0" shapeId="0" xr:uid="{00000000-0006-0000-0100-000001000000}">
      <text>
        <r>
          <rPr>
            <sz val="10"/>
            <rFont val="Arial"/>
            <family val="2"/>
          </rPr>
          <t xml:space="preserve">single cond.
</t>
        </r>
      </text>
    </comment>
    <comment ref="A34" authorId="1" shapeId="0" xr:uid="{00000000-0006-0000-0100-000002000000}">
      <text>
        <r>
          <rPr>
            <sz val="10"/>
            <rFont val="Arial"/>
            <family val="2"/>
          </rPr>
          <t>B33 uses an empirical model with a fixed 1-hour thermal time constant, which assumes significant heat dissipation during the fault. This is reasonable for longer-duration overloads.
B34 uses an adiabatic model (zero heat loss), which assumes all fault energy stays in the conductor. This is the conservative upper bound and more accurate for short-duration faults (seconds), where the coil has little time to dissipate heat.
The true temperature will fall between these two values. For fault protection decisions, the adiabatic value (B34) is the safer reference.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None</author>
    <author>Claude</author>
  </authors>
  <commentList>
    <comment ref="H12" authorId="0" shapeId="0" xr:uid="{00000000-0006-0000-0200-000001000000}">
      <text>
        <r>
          <rPr>
            <sz val="10"/>
            <rFont val="Arial"/>
            <family val="2"/>
          </rPr>
          <t xml:space="preserve">single cond.
</t>
        </r>
      </text>
    </comment>
    <comment ref="A34" authorId="1" shapeId="0" xr:uid="{00000000-0006-0000-0200-000002000000}">
      <text>
        <r>
          <rPr>
            <sz val="10"/>
            <rFont val="Arial"/>
            <family val="2"/>
          </rPr>
          <t>B33 uses an empirical model with a fixed 1-hour thermal time constant, which assumes significant heat dissipation during the fault. This is reasonable for longer-duration overloads.
B34 uses an adiabatic model (zero heat loss), which assumes all fault energy stays in the conductor. This is the conservative upper bound and more accurate for short-duration faults (seconds), where the coil has little time to dissipate heat.
The true temperature will fall between these two values. For fault protection decisions, the adiabatic value (B34) is the safer reference.</t>
        </r>
      </text>
    </comment>
  </commentList>
</comments>
</file>

<file path=xl/sharedStrings.xml><?xml version="1.0" encoding="utf-8"?>
<sst xmlns="http://schemas.openxmlformats.org/spreadsheetml/2006/main" count="445" uniqueCount="181">
  <si>
    <t>Air core Inductors</t>
  </si>
  <si>
    <t>ID+T=D</t>
  </si>
  <si>
    <t/>
  </si>
  <si>
    <t>Coil length B</t>
  </si>
  <si>
    <t>B/D</t>
  </si>
  <si>
    <t>Build Factor</t>
  </si>
  <si>
    <t>Coil ID + barrier</t>
  </si>
  <si>
    <t>T/D</t>
  </si>
  <si>
    <t>Coil thk  T</t>
  </si>
  <si>
    <t>K</t>
  </si>
  <si>
    <t>Freq</t>
  </si>
  <si>
    <t>Amps</t>
  </si>
  <si>
    <t>Bmax</t>
  </si>
  <si>
    <t>W/LB</t>
  </si>
  <si>
    <t>w/lb*lb</t>
  </si>
  <si>
    <t>Watts</t>
  </si>
  <si>
    <t>AC Ohms</t>
  </si>
  <si>
    <t>Rac/Rdc</t>
  </si>
  <si>
    <t>Q</t>
  </si>
  <si>
    <t>Dpen</t>
  </si>
  <si>
    <t>D</t>
  </si>
  <si>
    <t>M</t>
  </si>
  <si>
    <t>Num turns N</t>
  </si>
  <si>
    <t>O.D.</t>
  </si>
  <si>
    <t>micro H  L=</t>
  </si>
  <si>
    <t>L=K*D^2*N^2*10^-3/B</t>
  </si>
  <si>
    <t>DC Amps</t>
  </si>
  <si>
    <t>AC Amps</t>
  </si>
  <si>
    <t>Cond Area</t>
  </si>
  <si>
    <t>No Conductors</t>
  </si>
  <si>
    <t>Thickness</t>
  </si>
  <si>
    <t>Width</t>
  </si>
  <si>
    <t>(Cond/(Cond+gap))^2</t>
  </si>
  <si>
    <t>Cu=1,Alum=0</t>
  </si>
  <si>
    <t>A=</t>
  </si>
  <si>
    <t>Cond gap</t>
  </si>
  <si>
    <t>No. Layers</t>
  </si>
  <si>
    <t>MLT=</t>
  </si>
  <si>
    <t>Margin</t>
  </si>
  <si>
    <t>Layer Ins.</t>
  </si>
  <si>
    <t>Cond Lgh=</t>
  </si>
  <si>
    <t>Ft.</t>
  </si>
  <si>
    <t>LBS=</t>
  </si>
  <si>
    <t>No Sticks</t>
  </si>
  <si>
    <t>Stk Thk</t>
  </si>
  <si>
    <t>DC Ohms</t>
  </si>
  <si>
    <t xml:space="preserve">  at 75C</t>
  </si>
  <si>
    <t>Round molds</t>
  </si>
  <si>
    <t>at 20C</t>
  </si>
  <si>
    <t>Turns/layer</t>
  </si>
  <si>
    <t>Duct Eff</t>
  </si>
  <si>
    <t>I^2R=</t>
  </si>
  <si>
    <t>micro H</t>
  </si>
  <si>
    <t>L=.8*A^2*N^2/(6*A+9*C2+10*B4)</t>
  </si>
  <si>
    <t xml:space="preserve">Eddy=  </t>
  </si>
  <si>
    <t>L-L micfarads</t>
  </si>
  <si>
    <t>Total=</t>
  </si>
  <si>
    <t>Ind micfarads</t>
  </si>
  <si>
    <t>Surface=</t>
  </si>
  <si>
    <t>Res Freq Khz</t>
  </si>
  <si>
    <t>Target</t>
  </si>
  <si>
    <t>W/SqIn=</t>
  </si>
  <si>
    <t>IZ at 60 hz</t>
  </si>
  <si>
    <t>Temp Rise</t>
  </si>
  <si>
    <t>MLT per layer</t>
  </si>
  <si>
    <t>Test current</t>
  </si>
  <si>
    <t>AmpSqIn</t>
  </si>
  <si>
    <t>MLT adder</t>
  </si>
  <si>
    <t>spacing between sticks</t>
  </si>
  <si>
    <t>Test volts @ AC amps</t>
  </si>
  <si>
    <t>winding height</t>
  </si>
  <si>
    <t>sticks per layer</t>
  </si>
  <si>
    <t>Note: most coils are not round. Incease the ID by 1 for small coils and .5 for large when bars are used for leads.</t>
  </si>
  <si>
    <t>pieces per layer</t>
  </si>
  <si>
    <t>no of layers with sticks</t>
  </si>
  <si>
    <t>This simulates actual micro H at the smaller ID.</t>
  </si>
  <si>
    <t xml:space="preserve">multiplier </t>
  </si>
  <si>
    <t>total number of sticks</t>
  </si>
  <si>
    <t>R @ 20C</t>
  </si>
  <si>
    <t>square inches per layer</t>
  </si>
  <si>
    <t>hi pot</t>
  </si>
  <si>
    <t>50 kv</t>
  </si>
  <si>
    <t>mH Nominal</t>
  </si>
  <si>
    <t>est overload</t>
  </si>
  <si>
    <t>mH min</t>
  </si>
  <si>
    <t>current</t>
  </si>
  <si>
    <t>watts=</t>
  </si>
  <si>
    <t>Fault/SQI</t>
  </si>
  <si>
    <t>seconds</t>
  </si>
  <si>
    <t>W/sqin=</t>
  </si>
  <si>
    <t>coil OD</t>
  </si>
  <si>
    <t>temp rise</t>
  </si>
  <si>
    <t>Keepback</t>
  </si>
  <si>
    <t>AI temp rise</t>
  </si>
  <si>
    <t>num of layers</t>
  </si>
  <si>
    <t>design guide rule of thumb</t>
  </si>
  <si>
    <t>pieces per wrap</t>
  </si>
  <si>
    <t>pieces</t>
  </si>
  <si>
    <t>mils per layer</t>
  </si>
  <si>
    <t>square inches of wrap</t>
  </si>
  <si>
    <t>square inches of PO</t>
  </si>
  <si>
    <t>​​26.4kV L-L (150kV BIL), 600A Continuous, 10kA Fault Current @ 1 Seconds, 1.1 Ohms, 60Hz, Aluminum, 200C Insulation System, Single Phase Current Limiting Reactor in a NEMA 3R Aluminum​ Enclosure
R0 1/22/26    R1 1/29/26 - doubled sticks</t>
  </si>
  <si>
    <t>Mould ID</t>
  </si>
  <si>
    <t>lead pad width</t>
  </si>
  <si>
    <t>Mould OD</t>
  </si>
  <si>
    <t>coil height</t>
  </si>
  <si>
    <t>MLT</t>
  </si>
  <si>
    <t>pad outside coil</t>
  </si>
  <si>
    <t>pieces of 1/32 redboard</t>
  </si>
  <si>
    <t>mould above coil</t>
  </si>
  <si>
    <t>square inches of padding</t>
  </si>
  <si>
    <t>mould below coil</t>
  </si>
  <si>
    <t>square inches of red board/FHT</t>
  </si>
  <si>
    <t>34 kv</t>
  </si>
  <si>
    <t>​​26.4kV L-L (150kV BIL), 600A Continuous, 10kA Fault Current @ 1 Seconds, 1.1 Ohms, 60Hz, Aluminum, 200C Insulation System, Single Phase Current Limiting Reactor in a NEMA 3R Aluminum​ Enclosure</t>
  </si>
  <si>
    <t>Q38459A: 13200V L-L (150kV BIL), 16.00 Ohms +\- 10% at 25C, 95A Continuous Neutral, 240A Fault Current at 5 Seconds Max Duration, 60Hz, 150C Rise, Copper, 200C Insulation System, Single Phase, Neutral Grounding Reactor w/C20 200:5 Current Transformer in NEMA 3R Enclosure Bottom Cable Entry, 1/4" x 1 Copper Terminal</t>
  </si>
  <si>
    <t>Eng.
Design</t>
  </si>
  <si>
    <t>Mould/
Tube ID</t>
  </si>
  <si>
    <t>Winding
ID</t>
  </si>
  <si>
    <t>Winding
OD</t>
  </si>
  <si>
    <t>Winding
Height</t>
  </si>
  <si>
    <t>Coil
Height</t>
  </si>
  <si>
    <t>Turns</t>
  </si>
  <si>
    <t>micro Henries</t>
  </si>
  <si>
    <t>ohms</t>
  </si>
  <si>
    <t>copper weight</t>
  </si>
  <si>
    <t>System 
Volts/Class</t>
  </si>
  <si>
    <t>BIL</t>
  </si>
  <si>
    <t>Continuous
Amps</t>
  </si>
  <si>
    <t>Fault 
Amps</t>
  </si>
  <si>
    <t>Seconds</t>
  </si>
  <si>
    <t>CT?</t>
  </si>
  <si>
    <t>W/SqI</t>
  </si>
  <si>
    <t>Ohms check</t>
  </si>
  <si>
    <t>A800831</t>
  </si>
  <si>
    <t>N</t>
  </si>
  <si>
    <t>A800830</t>
  </si>
  <si>
    <t>Y</t>
  </si>
  <si>
    <t>A800829</t>
  </si>
  <si>
    <t>A800828</t>
  </si>
  <si>
    <t>See 800821</t>
  </si>
  <si>
    <t>A800827</t>
  </si>
  <si>
    <t>A800826</t>
  </si>
  <si>
    <t>A800824</t>
  </si>
  <si>
    <t>A800822</t>
  </si>
  <si>
    <t>A800821</t>
  </si>
  <si>
    <t>A800820</t>
  </si>
  <si>
    <t>A800819 (815)</t>
  </si>
  <si>
    <t>See 800815</t>
  </si>
  <si>
    <t>A800818</t>
  </si>
  <si>
    <t>A800817</t>
  </si>
  <si>
    <t>A800816</t>
  </si>
  <si>
    <t>A800815</t>
  </si>
  <si>
    <t>A800814</t>
  </si>
  <si>
    <t>A800813</t>
  </si>
  <si>
    <t>A800812</t>
  </si>
  <si>
    <t>A800811</t>
  </si>
  <si>
    <t>A800810</t>
  </si>
  <si>
    <t>A800809</t>
  </si>
  <si>
    <t>A800808</t>
  </si>
  <si>
    <t>A800806</t>
  </si>
  <si>
    <t>A800805</t>
  </si>
  <si>
    <t>A800804</t>
  </si>
  <si>
    <t>A800803</t>
  </si>
  <si>
    <t>A800802</t>
  </si>
  <si>
    <t>A800801</t>
  </si>
  <si>
    <t>A800800</t>
  </si>
  <si>
    <t>A800799</t>
  </si>
  <si>
    <t>A800798</t>
  </si>
  <si>
    <t>A800795</t>
  </si>
  <si>
    <t>A800789</t>
  </si>
  <si>
    <t>A800788</t>
  </si>
  <si>
    <t>A800787</t>
  </si>
  <si>
    <t>A800785</t>
  </si>
  <si>
    <t>A800784</t>
  </si>
  <si>
    <t>A800783</t>
  </si>
  <si>
    <t>A800777</t>
  </si>
  <si>
    <t>A800775</t>
  </si>
  <si>
    <t>A800764</t>
  </si>
  <si>
    <t>A800752</t>
  </si>
  <si>
    <t>Adiabatic temp rise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</si>
</sst>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 General\ \x"/>
    <numFmt numFmtId="165" formatCode="&quot;/ &quot;General&quot; layers ) ^&quot;"/>
    <numFmt numFmtId="166" formatCode="General\ \="/>
    <numFmt numFmtId="167" formatCode="General&quot;kV BIL&quot;"/>
    <numFmt numFmtId="168" formatCode="0.0000"/>
    <numFmt numFmtId="169" formatCode="0.0###"/>
  </numFmts>
  <fonts count="6" x14ac:knownFonts="1">
    <font>
      <sz val="10"/>
      <name val="Arial"/>
      <family val="2"/>
    </font>
    <font>
      <b/>
      <u/>
      <sz val="10"/>
      <name val="Arial"/>
      <family val="2"/>
    </font>
    <font>
      <sz val="10"/>
      <color indexed="10"/>
      <name val="Arial"/>
      <family val="2"/>
    </font>
    <font>
      <sz val="11"/>
      <name val="Arial"/>
      <family val="2"/>
    </font>
    <font>
      <sz val="10"/>
      <color rgb="FFFF0000"/>
      <name val="Arial"/>
      <family val="2"/>
    </font>
    <font>
      <sz val="10"/>
      <color theme="4"/>
      <name val="Arial"/>
      <family val="2"/>
    </font>
  </fonts>
  <fills count="3">
    <fill>
      <patternFill patternType="none"/>
    </fill>
    <fill>
      <patternFill patternType="gray125"/>
    </fill>
    <fill>
      <patternFill patternType="solid">
        <fgColor rgb="FFFFFFCC"/>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double">
        <color indexed="64"/>
      </bottom>
      <diagonal/>
    </border>
    <border>
      <left/>
      <right/>
      <top style="medium">
        <color indexed="64"/>
      </top>
      <bottom/>
      <diagonal/>
    </border>
    <border>
      <left/>
      <right style="medium">
        <color indexed="64"/>
      </right>
      <top style="medium">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s>
  <cellStyleXfs count="1">
    <xf numFmtId="0" fontId="0" fillId="0" borderId="0"/>
  </cellStyleXfs>
  <cellXfs count="55">
    <xf numFmtId="0" fontId="0" fillId="0" borderId="0" xfId="0"/>
    <xf numFmtId="0" fontId="1" fillId="0" borderId="0" xfId="0" applyFont="1"/>
    <xf numFmtId="0" fontId="0" fillId="0" borderId="0" xfId="0" applyAlignment="1">
      <alignment horizontal="center"/>
    </xf>
    <xf numFmtId="0" fontId="0" fillId="0" borderId="0" xfId="0" applyAlignment="1">
      <alignment horizontal="left"/>
    </xf>
    <xf numFmtId="0" fontId="2" fillId="0" borderId="0" xfId="0" applyFont="1"/>
    <xf numFmtId="0" fontId="0" fillId="0" borderId="0" xfId="0" applyAlignment="1">
      <alignment horizontal="right"/>
    </xf>
    <xf numFmtId="1" fontId="0" fillId="0" borderId="0" xfId="0" applyNumberFormat="1"/>
    <xf numFmtId="0" fontId="2" fillId="0" borderId="1" xfId="0" applyFont="1" applyBorder="1"/>
    <xf numFmtId="0" fontId="2" fillId="0" borderId="1" xfId="0" applyFont="1" applyBorder="1" applyAlignment="1">
      <alignment horizontal="right"/>
    </xf>
    <xf numFmtId="0" fontId="2" fillId="0" borderId="1" xfId="0" applyFont="1" applyBorder="1" applyAlignment="1">
      <alignment horizontal="center"/>
    </xf>
    <xf numFmtId="0" fontId="0" fillId="0" borderId="1" xfId="0" applyBorder="1"/>
    <xf numFmtId="0" fontId="0" fillId="2" borderId="1" xfId="0" applyFill="1" applyBorder="1" applyAlignment="1">
      <alignment horizontal="center"/>
    </xf>
    <xf numFmtId="1" fontId="0" fillId="2" borderId="1" xfId="0" applyNumberFormat="1" applyFill="1" applyBorder="1"/>
    <xf numFmtId="0" fontId="2" fillId="2" borderId="1" xfId="0" applyFont="1" applyFill="1" applyBorder="1"/>
    <xf numFmtId="0" fontId="2" fillId="2" borderId="1" xfId="0" applyFont="1" applyFill="1" applyBorder="1" applyAlignment="1">
      <alignment horizontal="right"/>
    </xf>
    <xf numFmtId="0" fontId="0" fillId="0" borderId="2" xfId="0" quotePrefix="1" applyBorder="1"/>
    <xf numFmtId="0" fontId="0" fillId="0" borderId="3" xfId="0" applyBorder="1"/>
    <xf numFmtId="164" fontId="0" fillId="0" borderId="2" xfId="0" applyNumberFormat="1" applyBorder="1"/>
    <xf numFmtId="165" fontId="0" fillId="0" borderId="0" xfId="0" applyNumberFormat="1" applyAlignment="1">
      <alignment horizontal="right"/>
    </xf>
    <xf numFmtId="166" fontId="0" fillId="0" borderId="0" xfId="0" applyNumberFormat="1" applyAlignment="1">
      <alignment horizontal="center"/>
    </xf>
    <xf numFmtId="2" fontId="0" fillId="0" borderId="0" xfId="0" applyNumberFormat="1" applyAlignment="1">
      <alignment horizontal="center"/>
    </xf>
    <xf numFmtId="0" fontId="0" fillId="0" borderId="4" xfId="0" applyBorder="1"/>
    <xf numFmtId="0" fontId="0" fillId="0" borderId="5" xfId="0" applyBorder="1"/>
    <xf numFmtId="0" fontId="0" fillId="0" borderId="6" xfId="0" applyBorder="1"/>
    <xf numFmtId="167" fontId="0" fillId="2" borderId="0" xfId="0" applyNumberFormat="1" applyFill="1" applyAlignment="1">
      <alignment horizontal="center"/>
    </xf>
    <xf numFmtId="0" fontId="3" fillId="0" borderId="0" xfId="0" applyFont="1" applyAlignment="1">
      <alignment vertical="top" wrapText="1"/>
    </xf>
    <xf numFmtId="168" fontId="0" fillId="0" borderId="0" xfId="0" applyNumberFormat="1"/>
    <xf numFmtId="0" fontId="2" fillId="2" borderId="1" xfId="0" applyFont="1" applyFill="1" applyBorder="1" applyAlignment="1">
      <alignment horizontal="center"/>
    </xf>
    <xf numFmtId="0" fontId="0" fillId="0" borderId="0" xfId="0" applyAlignment="1">
      <alignment horizontal="center" wrapText="1"/>
    </xf>
    <xf numFmtId="0" fontId="0" fillId="0" borderId="7" xfId="0" applyBorder="1"/>
    <xf numFmtId="169" fontId="0" fillId="0" borderId="0" xfId="0" applyNumberFormat="1" applyAlignment="1">
      <alignment horizontal="right"/>
    </xf>
    <xf numFmtId="0" fontId="0" fillId="0" borderId="0" xfId="0" applyAlignment="1">
      <alignment horizontal="right" wrapText="1"/>
    </xf>
    <xf numFmtId="1" fontId="0" fillId="0" borderId="0" xfId="0" applyNumberFormat="1" applyAlignment="1">
      <alignment horizontal="right" wrapText="1"/>
    </xf>
    <xf numFmtId="1" fontId="0" fillId="0" borderId="0" xfId="0" applyNumberFormat="1" applyAlignment="1">
      <alignment horizontal="right"/>
    </xf>
    <xf numFmtId="0" fontId="0" fillId="0" borderId="1" xfId="0" applyBorder="1" applyAlignment="1">
      <alignment horizontal="right"/>
    </xf>
    <xf numFmtId="0" fontId="0" fillId="0" borderId="1" xfId="0" applyBorder="1" applyAlignment="1">
      <alignment horizontal="center"/>
    </xf>
    <xf numFmtId="0" fontId="4" fillId="2" borderId="1" xfId="0" applyFont="1" applyFill="1" applyBorder="1" applyAlignment="1">
      <alignment horizontal="center"/>
    </xf>
    <xf numFmtId="167" fontId="4" fillId="2" borderId="0" xfId="0" applyNumberFormat="1" applyFont="1" applyFill="1" applyAlignment="1">
      <alignment horizontal="center"/>
    </xf>
    <xf numFmtId="0" fontId="5" fillId="0" borderId="0" xfId="0" applyFont="1"/>
    <xf numFmtId="1" fontId="5" fillId="2" borderId="1" xfId="0" applyNumberFormat="1" applyFont="1" applyFill="1" applyBorder="1"/>
    <xf numFmtId="1" fontId="5" fillId="0" borderId="0" xfId="0" applyNumberFormat="1" applyFont="1"/>
    <xf numFmtId="0" fontId="0" fillId="0" borderId="18" xfId="0" applyBorder="1" applyAlignment="1">
      <alignment horizontal="center"/>
    </xf>
    <xf numFmtId="0" fontId="0" fillId="0" borderId="8" xfId="0" applyBorder="1"/>
    <xf numFmtId="0" fontId="0" fillId="0" borderId="9" xfId="0" applyBorder="1"/>
    <xf numFmtId="0" fontId="0" fillId="2" borderId="1" xfId="0" applyFill="1" applyBorder="1" applyAlignment="1">
      <alignment horizontal="center" vertical="center" wrapText="1"/>
    </xf>
    <xf numFmtId="0" fontId="0" fillId="0" borderId="10" xfId="0" applyBorder="1"/>
    <xf numFmtId="0" fontId="0" fillId="0" borderId="11" xfId="0" applyBorder="1"/>
    <xf numFmtId="0" fontId="0" fillId="0" borderId="12" xfId="0" applyBorder="1"/>
    <xf numFmtId="0" fontId="0" fillId="0" borderId="0" xfId="0"/>
    <xf numFmtId="0" fontId="0" fillId="0" borderId="13" xfId="0" applyBorder="1"/>
    <xf numFmtId="0" fontId="0" fillId="0" borderId="14" xfId="0" applyBorder="1"/>
    <xf numFmtId="0" fontId="0" fillId="0" borderId="15" xfId="0" applyBorder="1"/>
    <xf numFmtId="0" fontId="0" fillId="0" borderId="16" xfId="0" applyBorder="1"/>
    <xf numFmtId="0" fontId="0" fillId="0" borderId="1" xfId="0" applyBorder="1" applyAlignment="1">
      <alignment horizontal="center"/>
    </xf>
    <xf numFmtId="0" fontId="0" fillId="0" borderId="17"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Drawings\Drawings\1%20phase%20reactors\800800-800849\800815\Design\800815%20-%20Air%20Core%20Reacto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layer 7"/>
      <sheetName val="Wdg"/>
      <sheetName val="Sheet3"/>
      <sheetName val="Sheet4"/>
      <sheetName val="Reactor Stats"/>
    </sheetNames>
    <sheetDataSet>
      <sheetData sheetId="0"/>
      <sheetData sheetId="1"/>
      <sheetData sheetId="2">
        <row r="54">
          <cell r="I54">
            <v>234</v>
          </cell>
        </row>
        <row r="55">
          <cell r="C55">
            <v>1</v>
          </cell>
        </row>
        <row r="56">
          <cell r="C56">
            <v>234</v>
          </cell>
        </row>
      </sheetData>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E49"/>
  <sheetViews>
    <sheetView tabSelected="1" topLeftCell="A31" zoomScaleNormal="100" workbookViewId="0">
      <selection activeCell="A34" sqref="A34"/>
    </sheetView>
  </sheetViews>
  <sheetFormatPr defaultRowHeight="12.75" x14ac:dyDescent="0.2"/>
  <cols>
    <col min="1" max="1" width="18.42578125" customWidth="1"/>
    <col min="3" max="3" width="9.5703125" bestFit="1" customWidth="1"/>
    <col min="4" max="4" width="13.28515625" bestFit="1" customWidth="1"/>
    <col min="7" max="7" width="12.140625" bestFit="1" customWidth="1"/>
    <col min="8" max="8" width="10" customWidth="1"/>
  </cols>
  <sheetData>
    <row r="1" spans="1:31" x14ac:dyDescent="0.2">
      <c r="A1" s="1" t="s">
        <v>0</v>
      </c>
      <c r="D1">
        <f>B3+B4</f>
        <v>22.982399999999998</v>
      </c>
      <c r="E1" s="2" t="s">
        <v>1</v>
      </c>
      <c r="H1" s="2" t="s">
        <v>2</v>
      </c>
      <c r="J1" s="5"/>
    </row>
    <row r="2" spans="1:31" x14ac:dyDescent="0.2">
      <c r="A2" t="s">
        <v>3</v>
      </c>
      <c r="B2" s="38">
        <f>IF( B5 = B15, H13 * B13 + H14 * (B13 - 1) + 2 * H15, INT( 16 * (B18 + 1) * H13 * B13 ) / 16 + 0.0625 + H14 * B18 + 2 * H15 )</f>
        <v>36</v>
      </c>
      <c r="C2">
        <f>IF( B5 = B15, H13 * B13 + H14 * (B13 - 1), B18 * H13 * B13 + H14 * (B13 - 1) )</f>
        <v>24</v>
      </c>
      <c r="D2">
        <f>C2/D1</f>
        <v>1.0442773600668338</v>
      </c>
      <c r="E2" s="2" t="s">
        <v>4</v>
      </c>
      <c r="G2" s="2" t="s">
        <v>5</v>
      </c>
      <c r="H2" s="4">
        <v>1.1100000000000001</v>
      </c>
    </row>
    <row r="3" spans="1:31" ht="12.75" customHeight="1" x14ac:dyDescent="0.2">
      <c r="A3" t="s">
        <v>6</v>
      </c>
      <c r="B3" s="7">
        <v>9.75</v>
      </c>
      <c r="D3">
        <f>B4/D1</f>
        <v>0.57576232247284886</v>
      </c>
      <c r="E3" s="2" t="s">
        <v>7</v>
      </c>
      <c r="V3" s="25"/>
      <c r="W3" s="25"/>
      <c r="X3" s="25"/>
      <c r="Y3" s="25"/>
      <c r="Z3" s="25"/>
      <c r="AA3" s="25"/>
      <c r="AB3" s="25"/>
      <c r="AC3" s="25"/>
      <c r="AD3" s="25"/>
      <c r="AE3" s="25"/>
    </row>
    <row r="4" spans="1:31" ht="12.75" customHeight="1" x14ac:dyDescent="0.2">
      <c r="A4" t="s">
        <v>8</v>
      </c>
      <c r="B4">
        <f>(B15 * E13 + (B15 - 1) * B16 ) * H2 + B17 * E17</f>
        <v>13.2324</v>
      </c>
      <c r="D4">
        <f>D2/(((1/(24.3122-6.791^D3))*D2+0.0541*1.0003^(1/D3)*D3^0.4775))</f>
        <v>11.524436121672689</v>
      </c>
      <c r="E4" s="2" t="s">
        <v>9</v>
      </c>
      <c r="G4" s="2" t="s">
        <v>10</v>
      </c>
      <c r="H4" s="2" t="s">
        <v>11</v>
      </c>
      <c r="I4" s="2" t="s">
        <v>12</v>
      </c>
      <c r="J4" s="2" t="s">
        <v>13</v>
      </c>
      <c r="K4" s="2" t="s">
        <v>14</v>
      </c>
      <c r="L4" s="2" t="s">
        <v>15</v>
      </c>
      <c r="M4" t="s">
        <v>16</v>
      </c>
      <c r="N4" t="s">
        <v>17</v>
      </c>
      <c r="O4" s="2" t="s">
        <v>18</v>
      </c>
      <c r="P4" s="2" t="s">
        <v>19</v>
      </c>
      <c r="Q4" s="2" t="s">
        <v>20</v>
      </c>
      <c r="R4" s="2" t="s">
        <v>21</v>
      </c>
      <c r="V4" s="25"/>
      <c r="W4" s="25"/>
      <c r="X4" s="25"/>
      <c r="Y4" s="25"/>
      <c r="Z4" s="25"/>
      <c r="AA4" s="25"/>
      <c r="AB4" s="25"/>
      <c r="AC4" s="25"/>
      <c r="AD4" s="25"/>
      <c r="AE4" s="25"/>
    </row>
    <row r="5" spans="1:31" ht="12.75" customHeight="1" x14ac:dyDescent="0.2">
      <c r="A5" t="s">
        <v>22</v>
      </c>
      <c r="B5" s="10">
        <f>B15*B18</f>
        <v>45</v>
      </c>
      <c r="G5" s="10">
        <v>2000</v>
      </c>
      <c r="H5" s="10">
        <v>0</v>
      </c>
      <c r="I5">
        <f>2^0.5*3.2*B5*H5/(C2)</f>
        <v>0</v>
      </c>
      <c r="J5">
        <f>62.5*E13^2*G5^2*(I5^2)/3*10^-11</f>
        <v>0</v>
      </c>
      <c r="K5">
        <f>J5*H16</f>
        <v>0</v>
      </c>
      <c r="L5">
        <f t="shared" ref="L5:L11" si="0">M5*H5^2</f>
        <v>0</v>
      </c>
      <c r="M5">
        <f>H17*N5</f>
        <v>0.31303942100564353</v>
      </c>
      <c r="N5">
        <f>R5+((B15^2-1)/3)*Q5</f>
        <v>205.66642828501338</v>
      </c>
      <c r="O5">
        <f>E13/P5</f>
        <v>1.1232855699084234</v>
      </c>
      <c r="P5">
        <f>IF(B14=1,7.5/G5^0.5/2.54,7.5*1.618/G5^0.5/2.54)</f>
        <v>0.10682946813763759</v>
      </c>
      <c r="Q5">
        <f t="shared" ref="Q5:Q11" si="1">2*O5*((EXP(O5)-EXP(-O5)-2*SIN(O5))/(EXP(O5)+EXP(O5)+2*COS(O5)))</f>
        <v>0.30316151641177475</v>
      </c>
      <c r="R5">
        <f t="shared" ref="R5:R11" si="2">O5*((EXP(2*O5)-EXP(-2*O5)+2*SIN(2*O5))/(EXP(2*O5)+EXP(-2*O5)-2*COS(2*O5)))</f>
        <v>1.1334585458693487</v>
      </c>
      <c r="V5" s="25"/>
      <c r="W5" s="25"/>
      <c r="X5" s="25"/>
      <c r="Y5" s="25"/>
      <c r="Z5" s="25"/>
      <c r="AA5" s="25"/>
      <c r="AB5" s="25"/>
      <c r="AC5" s="25"/>
      <c r="AD5" s="25"/>
      <c r="AE5" s="25"/>
    </row>
    <row r="6" spans="1:31" ht="12.75" customHeight="1" x14ac:dyDescent="0.2">
      <c r="A6" t="s">
        <v>23</v>
      </c>
      <c r="B6" s="38">
        <f>B3+2*B4</f>
        <v>36.214799999999997</v>
      </c>
      <c r="G6" s="10">
        <v>1000</v>
      </c>
      <c r="H6" s="10">
        <v>0</v>
      </c>
      <c r="I6">
        <f>2^0.5*3.2*B5*H6/(C2)</f>
        <v>0</v>
      </c>
      <c r="J6">
        <f>62.5*E13^2*G6^2*(I6^2)/3*10^-11</f>
        <v>0</v>
      </c>
      <c r="K6">
        <f>J6*H16</f>
        <v>0</v>
      </c>
      <c r="L6">
        <f t="shared" si="0"/>
        <v>0</v>
      </c>
      <c r="M6">
        <f>H17*N6</f>
        <v>9.5137811898314939E-2</v>
      </c>
      <c r="N6">
        <f>R6+((B15^2-1)/3)*Q6</f>
        <v>62.505399176626796</v>
      </c>
      <c r="O6">
        <f>E13/P6</f>
        <v>0.7942828436912418</v>
      </c>
      <c r="P6">
        <f>IF(B14=1,7.5/G6^0.5/2.54,7.5*1.618/G6^0.5/2.54)</f>
        <v>0.15107968270135153</v>
      </c>
      <c r="Q6">
        <f t="shared" si="1"/>
        <v>9.111247204291098E-2</v>
      </c>
      <c r="R6">
        <f t="shared" si="2"/>
        <v>1.0348513716761913</v>
      </c>
      <c r="V6" s="25"/>
      <c r="W6" s="25"/>
      <c r="X6" s="25"/>
      <c r="Y6" s="25"/>
      <c r="Z6" s="25"/>
      <c r="AA6" s="25"/>
      <c r="AB6" s="25"/>
      <c r="AC6" s="25"/>
      <c r="AD6" s="25"/>
      <c r="AE6" s="25"/>
    </row>
    <row r="7" spans="1:31" ht="12.75" customHeight="1" x14ac:dyDescent="0.2">
      <c r="A7" t="s">
        <v>24</v>
      </c>
      <c r="B7">
        <f>IF(B18=1,     D4*D1^2*B5^2*10^-3/C2,    D4*D1^2*B5^2*10^-3/C2    )</f>
        <v>513.59907048947537</v>
      </c>
      <c r="C7" t="s">
        <v>25</v>
      </c>
      <c r="G7" s="34">
        <v>500</v>
      </c>
      <c r="H7" s="34">
        <v>0</v>
      </c>
      <c r="I7">
        <f>2^0.5*3.2*B5*H7/(C2)</f>
        <v>0</v>
      </c>
      <c r="J7">
        <f>62.5*E13^2*G7^2*(I7^2)/3*10^-11</f>
        <v>0</v>
      </c>
      <c r="K7">
        <f>J7*H16</f>
        <v>0</v>
      </c>
      <c r="L7">
        <f t="shared" si="0"/>
        <v>0</v>
      </c>
      <c r="M7">
        <f>H17*N7</f>
        <v>2.773925514844465E-2</v>
      </c>
      <c r="N7">
        <f>R7+((B15^2-1)/3)*Q7</f>
        <v>18.224648867991704</v>
      </c>
      <c r="O7">
        <f>E13/P7</f>
        <v>0.56164278495421172</v>
      </c>
      <c r="P7">
        <f>IF(B14=1,7.5/G7^0.5/2.54,7.5*1.618/G7^0.5/2.54)</f>
        <v>0.21365893627527519</v>
      </c>
      <c r="Q7">
        <f t="shared" si="1"/>
        <v>2.5517545635536161E-2</v>
      </c>
      <c r="R7">
        <f t="shared" si="2"/>
        <v>1.0088114125499761</v>
      </c>
      <c r="V7" s="25"/>
      <c r="W7" s="25"/>
      <c r="X7" s="25"/>
      <c r="Y7" s="25"/>
      <c r="Z7" s="25"/>
      <c r="AA7" s="25"/>
      <c r="AB7" s="25"/>
      <c r="AC7" s="25"/>
      <c r="AD7" s="25"/>
      <c r="AE7" s="25"/>
    </row>
    <row r="8" spans="1:31" ht="12.75" customHeight="1" x14ac:dyDescent="0.2">
      <c r="G8" s="34">
        <v>100</v>
      </c>
      <c r="H8" s="34">
        <v>0</v>
      </c>
      <c r="I8">
        <f>2^0.5*3.2*B5*H8/(C2)</f>
        <v>0</v>
      </c>
      <c r="J8">
        <f>62.5*E13^2*G8^2*(I8^2)/3*10^-11</f>
        <v>0</v>
      </c>
      <c r="K8">
        <f>J8*H16</f>
        <v>0</v>
      </c>
      <c r="L8">
        <f t="shared" si="0"/>
        <v>0</v>
      </c>
      <c r="M8">
        <f>H17*N8</f>
        <v>2.7314066631257943E-3</v>
      </c>
      <c r="N8">
        <f>R8+((B15^2-1)/3)*Q8</f>
        <v>1.7945300652368679</v>
      </c>
      <c r="O8">
        <f>E13/P8</f>
        <v>0.25117428924598262</v>
      </c>
      <c r="P8">
        <f>IF(B14=1,7.5/G8^0.5/2.54,7.5*1.618/G8^0.5/2.54)</f>
        <v>0.47775590551181113</v>
      </c>
      <c r="Q8">
        <f t="shared" si="1"/>
        <v>1.1771388241768269E-3</v>
      </c>
      <c r="R8">
        <f t="shared" si="2"/>
        <v>1.0003537385255687</v>
      </c>
      <c r="V8" s="25"/>
      <c r="W8" s="25"/>
      <c r="X8" s="25"/>
      <c r="Y8" s="25"/>
      <c r="Z8" s="25"/>
      <c r="AA8" s="25"/>
      <c r="AB8" s="25"/>
      <c r="AC8" s="25"/>
      <c r="AD8" s="25"/>
      <c r="AE8" s="25"/>
    </row>
    <row r="9" spans="1:31" ht="12.75" customHeight="1" x14ac:dyDescent="0.2">
      <c r="G9" s="34">
        <v>10000</v>
      </c>
      <c r="H9" s="34">
        <v>0</v>
      </c>
      <c r="I9">
        <f>2^0.5*3.2*B5*H9/(C2)</f>
        <v>0</v>
      </c>
      <c r="J9">
        <f>62.5*E13^2*G9^2*(I9^2)/3*10^-11</f>
        <v>0</v>
      </c>
      <c r="K9">
        <f>J9*H16</f>
        <v>0</v>
      </c>
      <c r="L9">
        <f t="shared" si="0"/>
        <v>0</v>
      </c>
      <c r="M9">
        <f>H17*N9</f>
        <v>2.4820740869556377</v>
      </c>
      <c r="N9">
        <f>R9+((B15^2-1)/3)*Q9</f>
        <v>1630.7189380910229</v>
      </c>
      <c r="O9">
        <f>E13/P9</f>
        <v>2.5117428924598264</v>
      </c>
      <c r="P9">
        <f>IF(B14=1,7.5/G9^0.5/2.54,7.5*1.618/G9^0.5/2.54)</f>
        <v>4.7775590551181107E-2</v>
      </c>
      <c r="Q9">
        <f t="shared" si="1"/>
        <v>2.413382688611394</v>
      </c>
      <c r="R9">
        <f t="shared" si="2"/>
        <v>2.4900841745356797</v>
      </c>
      <c r="V9" s="25"/>
      <c r="W9" s="25"/>
      <c r="X9" s="25"/>
      <c r="Y9" s="25"/>
      <c r="Z9" s="25"/>
      <c r="AA9" s="25"/>
      <c r="AB9" s="25"/>
      <c r="AC9" s="25"/>
      <c r="AD9" s="25"/>
      <c r="AE9" s="25"/>
    </row>
    <row r="10" spans="1:31" ht="12.75" customHeight="1" x14ac:dyDescent="0.2">
      <c r="G10" s="34">
        <v>20000</v>
      </c>
      <c r="H10" s="34">
        <v>0</v>
      </c>
      <c r="I10">
        <f>2^0.5*3.2*B5*H10/(C2)</f>
        <v>0</v>
      </c>
      <c r="J10">
        <f>62.5*E13^2*G10^2*(I10^2)/3*10^-11</f>
        <v>0</v>
      </c>
      <c r="K10">
        <f>J10*H16</f>
        <v>0</v>
      </c>
      <c r="L10">
        <f t="shared" si="0"/>
        <v>0</v>
      </c>
      <c r="M10">
        <f>H17*N10</f>
        <v>3.8341704425598939</v>
      </c>
      <c r="N10">
        <f>R10+((B15^2-1)/3)*Q10</f>
        <v>2519.0442079914469</v>
      </c>
      <c r="O10">
        <f>E13/P10</f>
        <v>3.5521408637109126</v>
      </c>
      <c r="P10">
        <f>IF(B14=1,7.5/G10^0.5/2.54,7.5*1.618/G10^0.5/2.54)</f>
        <v>3.3782444053932111E-2</v>
      </c>
      <c r="Q10">
        <f t="shared" si="1"/>
        <v>3.7284839133785379</v>
      </c>
      <c r="R10">
        <f t="shared" si="2"/>
        <v>3.5603944320598986</v>
      </c>
      <c r="V10" s="25"/>
      <c r="W10" s="25"/>
      <c r="X10" s="25"/>
      <c r="Y10" s="25"/>
      <c r="Z10" s="25"/>
      <c r="AA10" s="25"/>
      <c r="AB10" s="25"/>
      <c r="AC10" s="25"/>
      <c r="AD10" s="25"/>
      <c r="AE10" s="25"/>
    </row>
    <row r="11" spans="1:31" ht="12.75" customHeight="1" x14ac:dyDescent="0.2">
      <c r="G11" s="34">
        <v>420</v>
      </c>
      <c r="H11" s="34">
        <v>0</v>
      </c>
      <c r="I11">
        <f>2^0.5*3.2*B5*H11/C2</f>
        <v>0</v>
      </c>
      <c r="J11">
        <f>62.5*E13^2*G11^2*(I11^2)/3*10^-11</f>
        <v>0</v>
      </c>
      <c r="K11">
        <f>J11*H16</f>
        <v>0</v>
      </c>
      <c r="L11">
        <f t="shared" si="0"/>
        <v>0</v>
      </c>
      <c r="M11">
        <f>H17*N11</f>
        <v>2.0429442606937208E-2</v>
      </c>
      <c r="N11">
        <f>R11+((B15^2-1)/3)*Q11</f>
        <v>13.422113033957789</v>
      </c>
      <c r="O11">
        <f>E13/P11</f>
        <v>0.51475411511569591</v>
      </c>
      <c r="P11">
        <f>IF(B14=1,7.5/G11^0.5/2.54,7.5*1.618/G11^0.5/2.54)</f>
        <v>0.2331210115202845</v>
      </c>
      <c r="Q11">
        <f t="shared" si="1"/>
        <v>1.840299721061716E-2</v>
      </c>
      <c r="R11">
        <f t="shared" si="2"/>
        <v>1.0062242491947466</v>
      </c>
      <c r="V11" s="25"/>
      <c r="W11" s="25"/>
      <c r="X11" s="25"/>
      <c r="Y11" s="25"/>
      <c r="Z11" s="25"/>
      <c r="AA11" s="25"/>
      <c r="AB11" s="25"/>
      <c r="AC11" s="25"/>
      <c r="AD11" s="25"/>
      <c r="AE11" s="25"/>
    </row>
    <row r="12" spans="1:31" ht="12.75" customHeight="1" x14ac:dyDescent="0.2">
      <c r="A12" t="s">
        <v>26</v>
      </c>
      <c r="B12" s="8">
        <v>0</v>
      </c>
      <c r="D12" t="s">
        <v>27</v>
      </c>
      <c r="E12" s="14">
        <v>4000</v>
      </c>
      <c r="G12" t="s">
        <v>28</v>
      </c>
      <c r="H12" s="35">
        <f>E13 * H13 - 0.000838</f>
        <v>2.879162</v>
      </c>
      <c r="V12" s="25"/>
      <c r="W12" s="25"/>
      <c r="X12" s="25"/>
      <c r="Y12" s="25"/>
      <c r="Z12" s="25"/>
      <c r="AA12" s="25"/>
      <c r="AB12" s="25"/>
      <c r="AC12" s="25"/>
      <c r="AD12" s="25"/>
      <c r="AE12" s="25"/>
    </row>
    <row r="13" spans="1:31" ht="12.75" customHeight="1" x14ac:dyDescent="0.2">
      <c r="A13" t="s">
        <v>29</v>
      </c>
      <c r="B13" s="8">
        <v>1</v>
      </c>
      <c r="D13" t="s">
        <v>30</v>
      </c>
      <c r="E13" s="8">
        <v>0.12</v>
      </c>
      <c r="G13" t="s">
        <v>31</v>
      </c>
      <c r="H13" s="9">
        <v>24</v>
      </c>
      <c r="J13" t="s">
        <v>32</v>
      </c>
      <c r="V13" s="25"/>
      <c r="W13" s="25"/>
      <c r="X13" s="25"/>
      <c r="Y13" s="25"/>
      <c r="Z13" s="25"/>
      <c r="AA13" s="25"/>
      <c r="AB13" s="25"/>
      <c r="AC13" s="25"/>
      <c r="AD13" s="25"/>
      <c r="AE13" s="25"/>
    </row>
    <row r="14" spans="1:31" ht="12.75" customHeight="1" x14ac:dyDescent="0.2">
      <c r="A14" t="s">
        <v>33</v>
      </c>
      <c r="B14" s="8">
        <v>0</v>
      </c>
      <c r="D14" s="2" t="s">
        <v>34</v>
      </c>
      <c r="E14">
        <f>B3/2 + B4/2</f>
        <v>11.491199999999999</v>
      </c>
      <c r="G14" t="s">
        <v>35</v>
      </c>
      <c r="H14" s="9">
        <v>0.01</v>
      </c>
      <c r="J14">
        <f>(H13/(H13+H14))^2</f>
        <v>0.99916718721079878</v>
      </c>
      <c r="V14" s="25"/>
      <c r="W14" s="25"/>
      <c r="X14" s="25"/>
      <c r="Y14" s="25"/>
      <c r="Z14" s="25"/>
      <c r="AA14" s="25"/>
      <c r="AB14" s="25"/>
      <c r="AC14" s="25"/>
      <c r="AD14" s="25"/>
      <c r="AE14" s="25"/>
    </row>
    <row r="15" spans="1:31" ht="12.75" customHeight="1" x14ac:dyDescent="0.2">
      <c r="A15" t="s">
        <v>36</v>
      </c>
      <c r="B15" s="8">
        <v>45</v>
      </c>
      <c r="D15" s="2" t="s">
        <v>37</v>
      </c>
      <c r="E15" s="5">
        <f>E14*2*3.14159</f>
        <v>72.201278015999989</v>
      </c>
      <c r="G15" t="s">
        <v>38</v>
      </c>
      <c r="H15" s="27">
        <v>6</v>
      </c>
      <c r="V15" s="25"/>
      <c r="W15" s="25"/>
      <c r="X15" s="25"/>
      <c r="Y15" s="25"/>
      <c r="Z15" s="25"/>
      <c r="AA15" s="25"/>
      <c r="AB15" s="25"/>
      <c r="AC15" s="25"/>
      <c r="AD15" s="25"/>
      <c r="AE15" s="25"/>
    </row>
    <row r="16" spans="1:31" ht="12.75" customHeight="1" x14ac:dyDescent="0.2">
      <c r="A16" t="s">
        <v>39</v>
      </c>
      <c r="B16" s="8">
        <v>0.01</v>
      </c>
      <c r="D16" s="3" t="s">
        <v>40</v>
      </c>
      <c r="E16">
        <f>E15*B5/12</f>
        <v>270.75479255999994</v>
      </c>
      <c r="F16" t="s">
        <v>41</v>
      </c>
      <c r="G16" t="s">
        <v>42</v>
      </c>
      <c r="H16" s="6">
        <f>IF(B14=1,B13*H12*E16*3.8762,B13*H12*E16*1.172)</f>
        <v>913.62897858637575</v>
      </c>
      <c r="V16" s="25"/>
      <c r="W16" s="25"/>
      <c r="X16" s="25"/>
      <c r="Y16" s="25"/>
      <c r="Z16" s="25"/>
      <c r="AA16" s="25"/>
      <c r="AB16" s="25"/>
      <c r="AC16" s="25"/>
      <c r="AD16" s="25"/>
      <c r="AE16" s="25"/>
    </row>
    <row r="17" spans="1:31" ht="12.75" customHeight="1" x14ac:dyDescent="0.2">
      <c r="A17" t="s">
        <v>43</v>
      </c>
      <c r="B17" s="8">
        <v>9</v>
      </c>
      <c r="D17" s="3" t="s">
        <v>44</v>
      </c>
      <c r="E17" s="14">
        <v>0.75</v>
      </c>
      <c r="G17" t="s">
        <v>45</v>
      </c>
      <c r="H17" s="26">
        <f>IF( B14=1, E16 / (B13 * H12) * 10^-5 * 0.81672 * ( (234.5 + 75) / 254.5 ), E16 / (B13 * H12) * 10^-5 * 1.3228 * ( (226 + 75) / 246 ) )</f>
        <v>1.5220735032741087E-3</v>
      </c>
      <c r="I17" t="s">
        <v>46</v>
      </c>
      <c r="K17" s="53" t="s">
        <v>47</v>
      </c>
      <c r="L17" s="54"/>
      <c r="N17" s="26">
        <f>IF(B14=1,E16/(B13*H12)*10^-5*0.81672*((234.5+20)/254.5),E16/(B13*H12)*10^-5*1.3228*((226+20)/246))</f>
        <v>1.2439537601509325E-3</v>
      </c>
      <c r="O17" t="s">
        <v>48</v>
      </c>
      <c r="V17" s="25"/>
      <c r="W17" s="25"/>
      <c r="X17" s="25"/>
      <c r="Y17" s="25"/>
      <c r="Z17" s="25"/>
      <c r="AA17" s="25"/>
      <c r="AB17" s="25"/>
      <c r="AC17" s="25"/>
      <c r="AD17" s="25"/>
      <c r="AE17" s="25"/>
    </row>
    <row r="18" spans="1:31" ht="12.75" customHeight="1" x14ac:dyDescent="0.2">
      <c r="A18" t="s">
        <v>49</v>
      </c>
      <c r="B18" s="8">
        <v>1</v>
      </c>
      <c r="D18" s="3" t="s">
        <v>50</v>
      </c>
      <c r="E18" s="8">
        <v>0.8</v>
      </c>
      <c r="G18" t="s">
        <v>51</v>
      </c>
      <c r="H18" s="6">
        <f>H17*((B12^2+(E12)^2)^0.5)^2+SUM(L5:L11)</f>
        <v>24353.176052385737</v>
      </c>
      <c r="K18" s="10">
        <v>3</v>
      </c>
      <c r="L18" s="10">
        <v>1</v>
      </c>
      <c r="V18" s="25"/>
      <c r="W18" s="25"/>
      <c r="X18" s="25"/>
      <c r="Y18" s="25"/>
      <c r="Z18" s="25"/>
      <c r="AA18" s="25"/>
      <c r="AB18" s="25"/>
      <c r="AC18" s="25"/>
      <c r="AD18" s="25"/>
      <c r="AE18" s="25"/>
    </row>
    <row r="19" spans="1:31" x14ac:dyDescent="0.2">
      <c r="A19" t="s">
        <v>52</v>
      </c>
      <c r="B19">
        <f>(0.8*(E14)^2*B5^2)/(6*(E14)+9*C2+10*B4)</f>
        <v>512.65756527840881</v>
      </c>
      <c r="C19" t="s">
        <v>53</v>
      </c>
      <c r="G19" t="s">
        <v>54</v>
      </c>
      <c r="H19" s="6">
        <f>IF(B14=1,5.9*B15^2*E13^4*J14*H18+SUM(K5:K11),((5.9*B15^2*E13^4*J14*H18+SUM(K5:K11))/1.65))</f>
        <v>36535.230431049626</v>
      </c>
      <c r="K19" s="10">
        <v>3.5</v>
      </c>
      <c r="L19" s="10">
        <v>1.5</v>
      </c>
    </row>
    <row r="20" spans="1:31" x14ac:dyDescent="0.2">
      <c r="A20" t="s">
        <v>55</v>
      </c>
      <c r="B20">
        <f>((0.2257*C2*6.28*E14*3.6/(B16*10^6))*(B15-B17-1)+(0.2257*C2*6.28*E14*1/((B16+E17)*10^6))*B17)/(B15-1)</f>
        <v>0.11204530842501818</v>
      </c>
      <c r="G20" t="s">
        <v>56</v>
      </c>
      <c r="H20" s="6">
        <f>H18+H19</f>
        <v>60888.406483435363</v>
      </c>
      <c r="I20" s="6">
        <f>H18+H19</f>
        <v>60888.406483435363</v>
      </c>
      <c r="K20" s="10">
        <v>5</v>
      </c>
      <c r="L20" s="10">
        <v>2.5625</v>
      </c>
    </row>
    <row r="21" spans="1:31" x14ac:dyDescent="0.2">
      <c r="A21" t="s">
        <v>57</v>
      </c>
      <c r="B21">
        <f>((0.2257*C2*6.28*E14*3.6/(B16*10^6))/(B15-B17)+(0.2257*C2*6.28*E14*1/((B16+E17)*10^6)))/B17</f>
        <v>4.9148489779200007E-4</v>
      </c>
      <c r="G21" t="s">
        <v>58</v>
      </c>
      <c r="H21" s="6">
        <f>((B4+B3/2)^2*3.14159-(B3/2)^2*3.14159)*2+E15*C2*(2+B17*2)*E18</f>
        <v>29636.083140581832</v>
      </c>
      <c r="I21" s="6">
        <f>((B4+B3/2)^2*3.14159-(B3/2)^2*3.14159)*2+E15*C2*(2)</f>
        <v>5376.453727205836</v>
      </c>
      <c r="K21" s="10">
        <v>5.625</v>
      </c>
      <c r="L21" s="10">
        <v>3.125</v>
      </c>
    </row>
    <row r="22" spans="1:31" x14ac:dyDescent="0.2">
      <c r="A22" t="s">
        <v>59</v>
      </c>
      <c r="B22">
        <f>(1/(B19*B21*10^-12))^0.5/(2*PI())*0.001</f>
        <v>317.06722932448037</v>
      </c>
      <c r="D22" s="11" t="s">
        <v>60</v>
      </c>
      <c r="G22" t="s">
        <v>61</v>
      </c>
      <c r="H22" s="26">
        <f>H20/H21</f>
        <v>2.0545362285091757</v>
      </c>
      <c r="I22" s="26">
        <f>I20/I21</f>
        <v>11.32501265198823</v>
      </c>
      <c r="K22" s="10">
        <v>9.375</v>
      </c>
      <c r="L22" s="10">
        <v>4.625</v>
      </c>
    </row>
    <row r="23" spans="1:31" x14ac:dyDescent="0.2">
      <c r="A23" t="s">
        <v>62</v>
      </c>
      <c r="C23" s="38">
        <f>( (H17^2) + ( B19*10^-6 * 2 * PI() * 60 )^2 )^0.5</f>
        <v>0.19327334234451726</v>
      </c>
      <c r="D23" s="36">
        <v>0.2</v>
      </c>
      <c r="G23" t="s">
        <v>63</v>
      </c>
      <c r="H23" s="39">
        <f>75*H22^0.8</f>
        <v>133.42349306029172</v>
      </c>
      <c r="I23">
        <f>75*I22^0.8</f>
        <v>522.74780762300054</v>
      </c>
      <c r="O23" s="5" t="s">
        <v>64</v>
      </c>
      <c r="P23">
        <f>$E$15</f>
        <v>72.201278015999989</v>
      </c>
      <c r="S23" s="5" t="s">
        <v>64</v>
      </c>
      <c r="T23">
        <f>$E$15</f>
        <v>72.201278015999989</v>
      </c>
    </row>
    <row r="24" spans="1:31" x14ac:dyDescent="0.2">
      <c r="A24" t="s">
        <v>65</v>
      </c>
      <c r="C24" s="9">
        <v>600</v>
      </c>
      <c r="G24" t="s">
        <v>66</v>
      </c>
      <c r="H24" s="39">
        <f>(B12^2+(E12+SUM(H5:H11))^2)^0.5/(B13*H12)</f>
        <v>1389.2931345995814</v>
      </c>
      <c r="O24" s="5" t="s">
        <v>67</v>
      </c>
      <c r="P24">
        <v>1</v>
      </c>
      <c r="S24" s="5" t="s">
        <v>68</v>
      </c>
      <c r="T24">
        <v>2.5</v>
      </c>
    </row>
    <row r="25" spans="1:31" x14ac:dyDescent="0.2">
      <c r="A25" t="s">
        <v>69</v>
      </c>
      <c r="C25">
        <f>C23 * C24</f>
        <v>115.96400540671036</v>
      </c>
      <c r="O25" s="5" t="s">
        <v>70</v>
      </c>
      <c r="P25">
        <f>$B$2</f>
        <v>36</v>
      </c>
      <c r="S25" s="5" t="s">
        <v>71</v>
      </c>
      <c r="T25">
        <f>FLOOR( T23 / T24, 1 )</f>
        <v>28</v>
      </c>
    </row>
    <row r="26" spans="1:31" x14ac:dyDescent="0.2">
      <c r="A26" t="s">
        <v>72</v>
      </c>
      <c r="O26" s="5" t="s">
        <v>73</v>
      </c>
      <c r="P26">
        <v>1</v>
      </c>
      <c r="S26" s="5" t="s">
        <v>74</v>
      </c>
      <c r="T26">
        <f>$B$17</f>
        <v>9</v>
      </c>
    </row>
    <row r="27" spans="1:31" x14ac:dyDescent="0.2">
      <c r="A27" t="s">
        <v>75</v>
      </c>
      <c r="O27" s="5" t="s">
        <v>76</v>
      </c>
      <c r="P27">
        <v>1.05</v>
      </c>
      <c r="S27" s="5" t="s">
        <v>77</v>
      </c>
      <c r="T27" s="12">
        <f>T25 * T26</f>
        <v>252</v>
      </c>
    </row>
    <row r="28" spans="1:31" x14ac:dyDescent="0.2">
      <c r="G28" s="10" t="s">
        <v>78</v>
      </c>
      <c r="H28" s="10">
        <f>IF(B14=1,  E16/(B13*H12)*10^-5*0.81672*((234.5+20)/254.5),   E16/(B13*H12)*10^-5*1.3228*((226+20)/246)   )</f>
        <v>1.2439537601509325E-3</v>
      </c>
      <c r="O28" s="5" t="s">
        <v>79</v>
      </c>
      <c r="P28" s="12">
        <f>( P23 + P24 ) * P25 * P26 * P27</f>
        <v>2767.0083090047997</v>
      </c>
    </row>
    <row r="29" spans="1:31" x14ac:dyDescent="0.2">
      <c r="A29" t="s">
        <v>80</v>
      </c>
      <c r="B29" t="s">
        <v>81</v>
      </c>
      <c r="G29" s="10" t="s">
        <v>82</v>
      </c>
      <c r="H29" s="10">
        <f>D23 / ( 2 * PI() * 60 ) * 1000</f>
        <v>0.53051647697298454</v>
      </c>
    </row>
    <row r="30" spans="1:31" x14ac:dyDescent="0.2">
      <c r="A30" t="s">
        <v>83</v>
      </c>
      <c r="G30" s="10" t="s">
        <v>84</v>
      </c>
      <c r="H30" s="10">
        <f>H29*0.9</f>
        <v>0.47746482927568612</v>
      </c>
    </row>
    <row r="31" spans="1:31" x14ac:dyDescent="0.2">
      <c r="A31" t="s">
        <v>85</v>
      </c>
      <c r="B31" s="13">
        <v>30000</v>
      </c>
      <c r="D31" t="s">
        <v>86</v>
      </c>
      <c r="E31" s="6">
        <f>H20*(B31/(E12+B12))^2</f>
        <v>3424972.8646932393</v>
      </c>
      <c r="G31" s="10" t="s">
        <v>87</v>
      </c>
      <c r="H31" s="39">
        <f>B31/(B13*H12)</f>
        <v>10419.69850949686</v>
      </c>
    </row>
    <row r="32" spans="1:31" x14ac:dyDescent="0.2">
      <c r="A32" t="s">
        <v>88</v>
      </c>
      <c r="B32" s="13">
        <v>10</v>
      </c>
      <c r="D32" t="s">
        <v>89</v>
      </c>
      <c r="E32" s="26">
        <f>E31/H21</f>
        <v>115.56766285364114</v>
      </c>
      <c r="O32" s="5" t="s">
        <v>90</v>
      </c>
      <c r="P32">
        <f>$B$6</f>
        <v>36.214799999999997</v>
      </c>
      <c r="S32" s="5" t="s">
        <v>64</v>
      </c>
      <c r="T32">
        <f>$E$15</f>
        <v>72.201278015999989</v>
      </c>
    </row>
    <row r="33" spans="1:20" x14ac:dyDescent="0.2">
      <c r="A33" t="s">
        <v>91</v>
      </c>
      <c r="B33" s="40">
        <f>E32^0.8 * 75 * B32 / 3600 + H23</f>
        <v>142.73516843381498</v>
      </c>
      <c r="O33" s="5" t="s">
        <v>67</v>
      </c>
      <c r="P33">
        <v>1</v>
      </c>
      <c r="S33" s="5" t="s">
        <v>92</v>
      </c>
      <c r="T33">
        <f>$H$15</f>
        <v>6</v>
      </c>
    </row>
    <row r="34" spans="1:20" ht="13.5" customHeight="1" thickBot="1" x14ac:dyDescent="0.25">
      <c r="A34" t="s">
        <v>180</v>
      </c>
      <c r="B34" s="40">
        <f>E31 * B32 / (H16 * 453.592 * IF(B14=1, 0.385, 0.897)) + H23</f>
        <v>225.5595112470142</v>
      </c>
      <c r="O34" s="5" t="s">
        <v>70</v>
      </c>
      <c r="P34">
        <f>$B$2</f>
        <v>36</v>
      </c>
      <c r="S34" s="5" t="s">
        <v>94</v>
      </c>
      <c r="T34">
        <f>$B$15</f>
        <v>45</v>
      </c>
    </row>
    <row r="35" spans="1:20" x14ac:dyDescent="0.2">
      <c r="B35" s="41" t="s">
        <v>95</v>
      </c>
      <c r="C35" s="42"/>
      <c r="D35" s="42"/>
      <c r="E35" s="42"/>
      <c r="F35" s="42"/>
      <c r="G35" s="42"/>
      <c r="H35" s="43"/>
      <c r="O35" s="5" t="s">
        <v>96</v>
      </c>
      <c r="P35">
        <v>1</v>
      </c>
      <c r="S35" s="5" t="s">
        <v>97</v>
      </c>
      <c r="T35">
        <v>2</v>
      </c>
    </row>
    <row r="36" spans="1:20" x14ac:dyDescent="0.2">
      <c r="B36" s="15"/>
      <c r="H36" s="16"/>
      <c r="O36" s="5" t="s">
        <v>76</v>
      </c>
      <c r="P36">
        <v>1.05</v>
      </c>
      <c r="S36" s="5" t="s">
        <v>76</v>
      </c>
      <c r="T36">
        <v>1.05</v>
      </c>
    </row>
    <row r="37" spans="1:20" x14ac:dyDescent="0.2">
      <c r="B37" s="17">
        <v>1.1499999999999999</v>
      </c>
      <c r="C37" s="37">
        <v>150</v>
      </c>
      <c r="D37" s="18">
        <f>B15</f>
        <v>45</v>
      </c>
      <c r="E37" s="19">
        <v>1.33</v>
      </c>
      <c r="F37" s="20">
        <f>( ( B37* C37 ) / B15 )^ 1.33</f>
        <v>5.9725096330209375</v>
      </c>
      <c r="G37" t="s">
        <v>98</v>
      </c>
      <c r="H37" s="16"/>
      <c r="O37" s="5" t="s">
        <v>99</v>
      </c>
      <c r="P37" s="12">
        <f>( ( P32 * PI() ) + P33 ) * P34 * P35 * P36</f>
        <v>4338.3872560602531</v>
      </c>
      <c r="S37" s="5" t="s">
        <v>100</v>
      </c>
      <c r="T37" s="12">
        <f>T32 * T33 * 2 * T34 * T35 * T36</f>
        <v>81876.249270143991</v>
      </c>
    </row>
    <row r="38" spans="1:20" ht="13.5" customHeight="1" thickBot="1" x14ac:dyDescent="0.25">
      <c r="B38" s="21"/>
      <c r="C38" s="22"/>
      <c r="D38" s="22"/>
      <c r="E38" s="22"/>
      <c r="F38" s="22"/>
      <c r="G38" s="22"/>
      <c r="H38" s="23"/>
    </row>
    <row r="40" spans="1:20" x14ac:dyDescent="0.2">
      <c r="B40" s="44" t="s">
        <v>101</v>
      </c>
      <c r="C40" s="45"/>
      <c r="D40" s="45"/>
      <c r="E40" s="45"/>
      <c r="F40" s="45"/>
      <c r="G40" s="45"/>
      <c r="H40" s="46"/>
      <c r="S40" s="5"/>
    </row>
    <row r="41" spans="1:20" x14ac:dyDescent="0.2">
      <c r="B41" s="47"/>
      <c r="C41" s="48"/>
      <c r="D41" s="48"/>
      <c r="E41" s="48"/>
      <c r="F41" s="48"/>
      <c r="G41" s="48"/>
      <c r="H41" s="49"/>
      <c r="O41" s="5" t="s">
        <v>102</v>
      </c>
      <c r="P41">
        <v>9.25</v>
      </c>
      <c r="S41" s="5" t="s">
        <v>103</v>
      </c>
      <c r="T41">
        <v>5</v>
      </c>
    </row>
    <row r="42" spans="1:20" x14ac:dyDescent="0.2">
      <c r="B42" s="47"/>
      <c r="C42" s="48"/>
      <c r="D42" s="48"/>
      <c r="E42" s="48"/>
      <c r="F42" s="48"/>
      <c r="G42" s="48"/>
      <c r="H42" s="49"/>
      <c r="O42" s="5" t="s">
        <v>104</v>
      </c>
      <c r="P42">
        <f>$B$3</f>
        <v>9.75</v>
      </c>
      <c r="S42" s="5" t="s">
        <v>105</v>
      </c>
      <c r="T42">
        <f>$B$2</f>
        <v>36</v>
      </c>
    </row>
    <row r="43" spans="1:20" x14ac:dyDescent="0.2">
      <c r="B43" s="47"/>
      <c r="C43" s="48"/>
      <c r="D43" s="48"/>
      <c r="E43" s="48"/>
      <c r="F43" s="48"/>
      <c r="G43" s="48"/>
      <c r="H43" s="49"/>
      <c r="O43" s="5" t="s">
        <v>106</v>
      </c>
      <c r="P43">
        <f>(P41 + P42 ) / 2 * PI()</f>
        <v>29.845130209103033</v>
      </c>
      <c r="S43" s="5" t="s">
        <v>107</v>
      </c>
      <c r="T43">
        <v>0</v>
      </c>
    </row>
    <row r="44" spans="1:20" x14ac:dyDescent="0.2">
      <c r="B44" s="47"/>
      <c r="C44" s="48"/>
      <c r="D44" s="48"/>
      <c r="E44" s="48"/>
      <c r="F44" s="48"/>
      <c r="G44" s="48"/>
      <c r="H44" s="49"/>
      <c r="O44" s="5" t="s">
        <v>108</v>
      </c>
      <c r="P44">
        <f>ROUND( (P42-P41) / 2 * 32,0)</f>
        <v>8</v>
      </c>
      <c r="S44" s="5" t="s">
        <v>97</v>
      </c>
      <c r="T44">
        <v>4</v>
      </c>
    </row>
    <row r="45" spans="1:20" x14ac:dyDescent="0.2">
      <c r="B45" s="50"/>
      <c r="C45" s="51"/>
      <c r="D45" s="51"/>
      <c r="E45" s="51"/>
      <c r="F45" s="51"/>
      <c r="G45" s="51"/>
      <c r="H45" s="52"/>
      <c r="O45" s="5" t="s">
        <v>109</v>
      </c>
      <c r="P45">
        <v>3.5</v>
      </c>
      <c r="S45" s="5" t="s">
        <v>76</v>
      </c>
      <c r="T45">
        <v>1.05</v>
      </c>
    </row>
    <row r="46" spans="1:20" x14ac:dyDescent="0.2">
      <c r="O46" s="5" t="s">
        <v>105</v>
      </c>
      <c r="P46">
        <f>$B$2</f>
        <v>36</v>
      </c>
      <c r="S46" s="5" t="s">
        <v>110</v>
      </c>
      <c r="T46" s="12">
        <f>(T42 + T43 ) * T41 * T44 * T45</f>
        <v>756</v>
      </c>
    </row>
    <row r="47" spans="1:20" x14ac:dyDescent="0.2">
      <c r="O47" s="5" t="s">
        <v>111</v>
      </c>
      <c r="P47">
        <v>3</v>
      </c>
    </row>
    <row r="48" spans="1:20" x14ac:dyDescent="0.2">
      <c r="O48" s="5" t="s">
        <v>76</v>
      </c>
      <c r="P48">
        <v>1.05</v>
      </c>
    </row>
    <row r="49" spans="15:16" x14ac:dyDescent="0.2">
      <c r="O49" s="5" t="s">
        <v>112</v>
      </c>
      <c r="P49" s="12">
        <f>P44 * ( P43 * (P45 + P46 + P47 ) ) * P48</f>
        <v>10654.711484649783</v>
      </c>
    </row>
  </sheetData>
  <mergeCells count="3">
    <mergeCell ref="B35:H35"/>
    <mergeCell ref="B40:H45"/>
    <mergeCell ref="K17:L17"/>
  </mergeCells>
  <dataValidations count="3">
    <dataValidation type="list" allowBlank="1" sqref="H13" xr:uid="{00000000-0002-0000-0000-000000000000}">
      <formula1>".162,.182,.204,.258,.289,.325,.365,.410,.460"</formula1>
    </dataValidation>
    <dataValidation type="list" allowBlank="1" sqref="E13" xr:uid="{00000000-0002-0000-0000-000001000000}">
      <formula1>".064,.072,.081,.091,.102,.114,.128,.144,.162,.182,.204"</formula1>
    </dataValidation>
    <dataValidation type="list" allowBlank="1" sqref="B3" xr:uid="{00000000-0002-0000-0000-000002000000}">
      <formula1>"9.375,5.625,5,3.5,3"</formula1>
    </dataValidation>
  </dataValidations>
  <pageMargins left="0.75" right="0.75" top="1" bottom="1" header="0.5" footer="0.5"/>
  <pageSetup scale="49" firstPageNumber="0" orientation="portrait" horizontalDpi="300" verticalDpi="300"/>
  <headerFooter alignWithMargins="0">
    <oddHeader>&amp;C&amp;F</oddHeader>
    <oddFooter>&amp;CPage &amp;P</oddFooter>
  </headerFooter>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E49"/>
  <sheetViews>
    <sheetView zoomScaleNormal="100" workbookViewId="0">
      <selection activeCell="B17" sqref="B17"/>
    </sheetView>
  </sheetViews>
  <sheetFormatPr defaultRowHeight="12.75" x14ac:dyDescent="0.2"/>
  <cols>
    <col min="1" max="1" width="18.42578125" customWidth="1"/>
    <col min="3" max="3" width="9.5703125" bestFit="1" customWidth="1"/>
    <col min="4" max="4" width="13.28515625" bestFit="1" customWidth="1"/>
    <col min="7" max="7" width="12.140625" bestFit="1" customWidth="1"/>
    <col min="8" max="8" width="10" customWidth="1"/>
  </cols>
  <sheetData>
    <row r="1" spans="1:31" x14ac:dyDescent="0.2">
      <c r="A1" s="1" t="s">
        <v>0</v>
      </c>
      <c r="D1">
        <f>B3+B4</f>
        <v>15.652899999999999</v>
      </c>
      <c r="E1" s="2" t="s">
        <v>1</v>
      </c>
      <c r="H1" s="2" t="s">
        <v>2</v>
      </c>
      <c r="J1" s="5"/>
    </row>
    <row r="2" spans="1:31" x14ac:dyDescent="0.2">
      <c r="A2" t="s">
        <v>3</v>
      </c>
      <c r="B2">
        <f>IF( B5 = B15, H13 * B13 + H14 * (B13 - 1) + 2 * H15, INT( 16 * (B18 + 1) * H13 * B13 ) / 16 + 0.0625 + H14 * B18 + 2 * H15 )</f>
        <v>34.5</v>
      </c>
      <c r="C2">
        <f>IF( B5 = B15, H13 * B13 + H14 * (B13 - 1), B18 * H13 * B13 + H14 * (B13 - 1) )</f>
        <v>24</v>
      </c>
      <c r="D2">
        <f>C2/D1</f>
        <v>1.5332622070031752</v>
      </c>
      <c r="E2" s="2" t="s">
        <v>4</v>
      </c>
      <c r="G2" s="2" t="s">
        <v>5</v>
      </c>
      <c r="H2" s="4">
        <v>1.1100000000000001</v>
      </c>
    </row>
    <row r="3" spans="1:31" ht="12.75" customHeight="1" x14ac:dyDescent="0.2">
      <c r="A3" t="s">
        <v>6</v>
      </c>
      <c r="B3" s="7">
        <v>12</v>
      </c>
      <c r="D3">
        <f>B4/D1</f>
        <v>0.23336889649841244</v>
      </c>
      <c r="E3" s="2" t="s">
        <v>7</v>
      </c>
      <c r="V3" s="25"/>
      <c r="W3" s="25"/>
      <c r="X3" s="25"/>
      <c r="Y3" s="25"/>
      <c r="Z3" s="25"/>
      <c r="AA3" s="25"/>
      <c r="AB3" s="25"/>
      <c r="AC3" s="25"/>
      <c r="AD3" s="25"/>
      <c r="AE3" s="25"/>
    </row>
    <row r="4" spans="1:31" ht="12.75" customHeight="1" x14ac:dyDescent="0.2">
      <c r="A4" t="s">
        <v>8</v>
      </c>
      <c r="B4">
        <f>(B15 * E13 + (B15 - 1) * B16 ) * H2 + B17 * E17</f>
        <v>3.6528999999999998</v>
      </c>
      <c r="D4">
        <f>D2/(((1/(24.3122-6.791^D3))*D2+0.0541*1.0003^(1/D3)*D3^0.4775))</f>
        <v>16.235329884860565</v>
      </c>
      <c r="E4" s="2" t="s">
        <v>9</v>
      </c>
      <c r="G4" s="2" t="s">
        <v>10</v>
      </c>
      <c r="H4" s="2" t="s">
        <v>11</v>
      </c>
      <c r="I4" s="2" t="s">
        <v>12</v>
      </c>
      <c r="J4" s="2" t="s">
        <v>13</v>
      </c>
      <c r="K4" s="2" t="s">
        <v>14</v>
      </c>
      <c r="L4" s="2" t="s">
        <v>15</v>
      </c>
      <c r="M4" t="s">
        <v>16</v>
      </c>
      <c r="N4" t="s">
        <v>17</v>
      </c>
      <c r="O4" s="2" t="s">
        <v>18</v>
      </c>
      <c r="P4" s="2" t="s">
        <v>19</v>
      </c>
      <c r="Q4" s="2" t="s">
        <v>20</v>
      </c>
      <c r="R4" s="2" t="s">
        <v>21</v>
      </c>
      <c r="V4" s="25"/>
      <c r="W4" s="25"/>
      <c r="X4" s="25"/>
      <c r="Y4" s="25"/>
      <c r="Z4" s="25"/>
      <c r="AA4" s="25"/>
      <c r="AB4" s="25"/>
      <c r="AC4" s="25"/>
      <c r="AD4" s="25"/>
      <c r="AE4" s="25"/>
    </row>
    <row r="5" spans="1:31" ht="12.75" customHeight="1" x14ac:dyDescent="0.2">
      <c r="A5" t="s">
        <v>22</v>
      </c>
      <c r="B5" s="7">
        <f>B15 * B18</f>
        <v>60</v>
      </c>
      <c r="G5" s="7">
        <v>2000</v>
      </c>
      <c r="H5" s="7">
        <v>0</v>
      </c>
      <c r="I5">
        <f>2^0.5*3.2*B5*H5/(C2)</f>
        <v>0</v>
      </c>
      <c r="J5">
        <f>62.5*E13^2*G5^2*(I5^2)/3*10^-11</f>
        <v>0</v>
      </c>
      <c r="K5">
        <f>J5*H16</f>
        <v>0</v>
      </c>
      <c r="L5">
        <f t="shared" ref="L5:L11" si="0">M5*H5^2</f>
        <v>0</v>
      </c>
      <c r="M5">
        <f>H17*N5</f>
        <v>1.7581862170068532E-2</v>
      </c>
      <c r="N5">
        <f>R5+((B15^2-1)/3)*Q5</f>
        <v>3.177252331282344</v>
      </c>
      <c r="O5">
        <f>E13/P5</f>
        <v>0.28082139247710586</v>
      </c>
      <c r="P5">
        <f>IF(B14=1,7.5/G5^0.5/2.54,7.5*1.618/G5^0.5/2.54)</f>
        <v>0.10682946813763759</v>
      </c>
      <c r="Q5">
        <f t="shared" ref="Q5:Q11" si="1">2*O5*((EXP(O5)-EXP(-O5)-2*SIN(O5))/(EXP(O5)+EXP(O5)+2*COS(O5)))</f>
        <v>1.8144203906343642E-3</v>
      </c>
      <c r="R5">
        <f t="shared" ref="R5:R11" si="2">O5*((EXP(2*O5)-EXP(-2*O5)+2*SIN(2*O5))/(EXP(2*O5)+EXP(-2*O5)-2*COS(2*O5)))</f>
        <v>1.0005526693179851</v>
      </c>
      <c r="V5" s="25"/>
      <c r="W5" s="25"/>
      <c r="X5" s="25"/>
      <c r="Y5" s="25"/>
      <c r="Z5" s="25"/>
      <c r="AA5" s="25"/>
      <c r="AB5" s="25"/>
      <c r="AC5" s="25"/>
      <c r="AD5" s="25"/>
      <c r="AE5" s="25"/>
    </row>
    <row r="6" spans="1:31" ht="12.75" customHeight="1" x14ac:dyDescent="0.2">
      <c r="A6" t="s">
        <v>23</v>
      </c>
      <c r="B6">
        <f>B3+2*B4</f>
        <v>19.305799999999998</v>
      </c>
      <c r="G6" s="7">
        <v>1000</v>
      </c>
      <c r="H6" s="7">
        <v>0</v>
      </c>
      <c r="I6">
        <f>2^0.5*3.2*B5*H6/(C2)</f>
        <v>0</v>
      </c>
      <c r="J6">
        <f>62.5*E13^2*G6^2*(I6^2)/3*10^-11</f>
        <v>0</v>
      </c>
      <c r="K6">
        <f>J6*H16</f>
        <v>0</v>
      </c>
      <c r="L6">
        <f t="shared" si="0"/>
        <v>0</v>
      </c>
      <c r="M6">
        <f>H17*N6</f>
        <v>8.6620957426025956E-3</v>
      </c>
      <c r="N6">
        <f>R6+((B15^2-1)/3)*Q6</f>
        <v>1.5653440816313533</v>
      </c>
      <c r="O6">
        <f>E13/P6</f>
        <v>0.19857071092281045</v>
      </c>
      <c r="P6">
        <f>IF(B14=1,7.5/G6^0.5/2.54,7.5*1.618/G6^0.5/2.54)</f>
        <v>0.15107968270135153</v>
      </c>
      <c r="Q6">
        <f t="shared" si="1"/>
        <v>4.7113577917766794E-4</v>
      </c>
      <c r="R6">
        <f t="shared" si="2"/>
        <v>1.0001381918778776</v>
      </c>
      <c r="V6" s="25"/>
      <c r="W6" s="25"/>
      <c r="X6" s="25"/>
      <c r="Y6" s="25"/>
      <c r="Z6" s="25"/>
      <c r="AA6" s="25"/>
      <c r="AB6" s="25"/>
      <c r="AC6" s="25"/>
      <c r="AD6" s="25"/>
      <c r="AE6" s="25"/>
    </row>
    <row r="7" spans="1:31" ht="12.75" customHeight="1" x14ac:dyDescent="0.2">
      <c r="A7" t="s">
        <v>24</v>
      </c>
      <c r="B7">
        <f>IF(B18=1,     D4*D1^2*B5^2*10^-3/C2,    D4*D1^2*B5^2*10^-3/C2    )</f>
        <v>596.68071017363013</v>
      </c>
      <c r="C7" t="s">
        <v>25</v>
      </c>
      <c r="G7" s="8">
        <v>500</v>
      </c>
      <c r="H7" s="8">
        <v>0</v>
      </c>
      <c r="I7">
        <f>2^0.5*3.2*B5*H7/(C2)</f>
        <v>0</v>
      </c>
      <c r="J7">
        <f>62.5*E13^2*G7^2*(I7^2)/3*10^-11</f>
        <v>0</v>
      </c>
      <c r="K7">
        <f>J7*H16</f>
        <v>0</v>
      </c>
      <c r="L7">
        <f t="shared" si="0"/>
        <v>0</v>
      </c>
      <c r="M7">
        <f>H17*N7</f>
        <v>6.3373603969174566E-3</v>
      </c>
      <c r="N7">
        <f>R7+((B15^2-1)/3)*Q7</f>
        <v>1.1452366592636019</v>
      </c>
      <c r="O7">
        <f>E13/P7</f>
        <v>0.14041069623855293</v>
      </c>
      <c r="P7">
        <f>IF(B14=1,7.5/G7^0.5/2.54,7.5*1.618/G7^0.5/2.54)</f>
        <v>0.21365893627527519</v>
      </c>
      <c r="Q7">
        <f t="shared" si="1"/>
        <v>1.2103537907154345E-4</v>
      </c>
      <c r="R7">
        <f t="shared" si="2"/>
        <v>1.000034549504107</v>
      </c>
      <c r="V7" s="25"/>
      <c r="W7" s="25"/>
      <c r="X7" s="25"/>
      <c r="Y7" s="25"/>
      <c r="Z7" s="25"/>
      <c r="AA7" s="25"/>
      <c r="AB7" s="25"/>
      <c r="AC7" s="25"/>
      <c r="AD7" s="25"/>
      <c r="AE7" s="25"/>
    </row>
    <row r="8" spans="1:31" ht="12.75" customHeight="1" x14ac:dyDescent="0.2">
      <c r="G8" s="8">
        <v>100</v>
      </c>
      <c r="H8" s="8">
        <v>0</v>
      </c>
      <c r="I8">
        <f>2^0.5*3.2*B5*H8/(C2)</f>
        <v>0</v>
      </c>
      <c r="J8">
        <f>62.5*E13^2*G8^2*(I8^2)/3*10^-11</f>
        <v>0</v>
      </c>
      <c r="K8">
        <f>J8*H16</f>
        <v>0</v>
      </c>
      <c r="L8">
        <f t="shared" si="0"/>
        <v>0</v>
      </c>
      <c r="M8">
        <f>H17*N8</f>
        <v>5.5670328220972084E-3</v>
      </c>
      <c r="N8">
        <f>R8+((B15^2-1)/3)*Q8</f>
        <v>1.0060292727379931</v>
      </c>
      <c r="O8">
        <f>E13/P8</f>
        <v>6.2793572311495655E-2</v>
      </c>
      <c r="P8">
        <f>IF(B14=1,7.5/G8^0.5/2.54,7.5*1.618/G8^0.5/2.54)</f>
        <v>0.47775590551181113</v>
      </c>
      <c r="Q8">
        <f t="shared" si="1"/>
        <v>5.0246380146064182E-6</v>
      </c>
      <c r="R8">
        <f t="shared" si="2"/>
        <v>1.0000013819998037</v>
      </c>
      <c r="V8" s="25"/>
      <c r="W8" s="25"/>
      <c r="X8" s="25"/>
      <c r="Y8" s="25"/>
      <c r="Z8" s="25"/>
      <c r="AA8" s="25"/>
      <c r="AB8" s="25"/>
      <c r="AC8" s="25"/>
      <c r="AD8" s="25"/>
      <c r="AE8" s="25"/>
    </row>
    <row r="9" spans="1:31" ht="12.75" customHeight="1" x14ac:dyDescent="0.2">
      <c r="G9" s="8">
        <v>10000</v>
      </c>
      <c r="H9" s="8">
        <v>0</v>
      </c>
      <c r="I9">
        <f>2^0.5*3.2*B5*H9/(C2)</f>
        <v>0</v>
      </c>
      <c r="J9">
        <f>62.5*E13^2*G9^2*(I9^2)/3*10^-11</f>
        <v>0</v>
      </c>
      <c r="K9">
        <f>J9*H16</f>
        <v>0</v>
      </c>
      <c r="L9">
        <f t="shared" si="0"/>
        <v>0</v>
      </c>
      <c r="M9">
        <f>H17*N9</f>
        <v>0.26212075839870791</v>
      </c>
      <c r="N9">
        <f>R9+((B15^2-1)/3)*Q9</f>
        <v>47.368349418504422</v>
      </c>
      <c r="O9">
        <f>E13/P9</f>
        <v>0.6279357231149566</v>
      </c>
      <c r="P9">
        <f>IF(B14=1,7.5/G9^0.5/2.54,7.5*1.618/G9^0.5/2.54)</f>
        <v>4.7775590551181107E-2</v>
      </c>
      <c r="Q9">
        <f t="shared" si="1"/>
        <v>3.8639575506164425E-2</v>
      </c>
      <c r="R9">
        <f t="shared" si="2"/>
        <v>1.0137386696091588</v>
      </c>
      <c r="V9" s="25"/>
      <c r="W9" s="25"/>
      <c r="X9" s="25"/>
      <c r="Y9" s="25"/>
      <c r="Z9" s="25"/>
      <c r="AA9" s="25"/>
      <c r="AB9" s="25"/>
      <c r="AC9" s="25"/>
      <c r="AD9" s="25"/>
      <c r="AE9" s="25"/>
    </row>
    <row r="10" spans="1:31" ht="12.75" customHeight="1" x14ac:dyDescent="0.2">
      <c r="G10" s="8">
        <v>20000</v>
      </c>
      <c r="H10" s="8">
        <v>0</v>
      </c>
      <c r="I10">
        <f>2^0.5*3.2*B5*H10/(C2)</f>
        <v>0</v>
      </c>
      <c r="J10">
        <f>62.5*E13^2*G10^2*(I10^2)/3*10^-11</f>
        <v>0</v>
      </c>
      <c r="K10">
        <f>J10*H16</f>
        <v>0</v>
      </c>
      <c r="L10">
        <f t="shared" si="0"/>
        <v>0</v>
      </c>
      <c r="M10">
        <f>H17*N10</f>
        <v>0.90557986414690483</v>
      </c>
      <c r="N10">
        <f>R10+((B15^2-1)/3)*Q10</f>
        <v>163.64908942474585</v>
      </c>
      <c r="O10">
        <f>E13/P10</f>
        <v>0.88803521592772816</v>
      </c>
      <c r="P10">
        <f>IF(B14=1,7.5/G10^0.5/2.54,7.5*1.618/G10^0.5/2.54)</f>
        <v>3.3782444053932111E-2</v>
      </c>
      <c r="Q10">
        <f t="shared" si="1"/>
        <v>0.13553355368799408</v>
      </c>
      <c r="R10">
        <f t="shared" si="2"/>
        <v>1.0540028503823033</v>
      </c>
      <c r="V10" s="25"/>
      <c r="W10" s="25"/>
      <c r="X10" s="25"/>
      <c r="Y10" s="25"/>
      <c r="Z10" s="25"/>
      <c r="AA10" s="25"/>
      <c r="AB10" s="25"/>
      <c r="AC10" s="25"/>
      <c r="AD10" s="25"/>
      <c r="AE10" s="25"/>
    </row>
    <row r="11" spans="1:31" ht="12.75" customHeight="1" x14ac:dyDescent="0.2">
      <c r="G11" s="8">
        <v>420</v>
      </c>
      <c r="H11" s="8">
        <v>0</v>
      </c>
      <c r="I11">
        <f>2^0.5*3.2*B5*H11/C2</f>
        <v>0</v>
      </c>
      <c r="J11">
        <f>62.5*E13^2*G11^2*(I11^2)/3*10^-11</f>
        <v>0</v>
      </c>
      <c r="K11">
        <f>J11*H16</f>
        <v>0</v>
      </c>
      <c r="L11">
        <f t="shared" si="0"/>
        <v>0</v>
      </c>
      <c r="M11">
        <f>H17*N11</f>
        <v>6.1039058753845927E-3</v>
      </c>
      <c r="N11">
        <f>R11+((B15^2-1)/3)*Q11</f>
        <v>1.1030486409744218</v>
      </c>
      <c r="O11">
        <f>E13/P11</f>
        <v>0.12868852877892398</v>
      </c>
      <c r="P11">
        <f>IF(B14=1,7.5/G11^0.5/2.54,7.5*1.618/G11^0.5/2.54)</f>
        <v>0.2331210115202845</v>
      </c>
      <c r="Q11">
        <f t="shared" si="1"/>
        <v>8.5877407117021997E-5</v>
      </c>
      <c r="R11">
        <f t="shared" si="2"/>
        <v>1.0000243782363678</v>
      </c>
      <c r="V11" s="25"/>
      <c r="W11" s="25"/>
      <c r="X11" s="25"/>
      <c r="Y11" s="25"/>
      <c r="Z11" s="25"/>
      <c r="AA11" s="25"/>
      <c r="AB11" s="25"/>
      <c r="AC11" s="25"/>
      <c r="AD11" s="25"/>
      <c r="AE11" s="25"/>
    </row>
    <row r="12" spans="1:31" ht="12.75" customHeight="1" x14ac:dyDescent="0.2">
      <c r="A12" t="s">
        <v>26</v>
      </c>
      <c r="B12" s="8">
        <v>0</v>
      </c>
      <c r="D12" t="s">
        <v>27</v>
      </c>
      <c r="E12" s="14">
        <v>600</v>
      </c>
      <c r="G12" t="s">
        <v>28</v>
      </c>
      <c r="H12" s="9">
        <f>E13 * H13 - 0.000838</f>
        <v>0.71916199999999997</v>
      </c>
      <c r="V12" s="25"/>
      <c r="W12" s="25"/>
      <c r="X12" s="25"/>
      <c r="Y12" s="25"/>
      <c r="Z12" s="25"/>
      <c r="AA12" s="25"/>
      <c r="AB12" s="25"/>
      <c r="AC12" s="25"/>
      <c r="AD12" s="25"/>
      <c r="AE12" s="25"/>
    </row>
    <row r="13" spans="1:31" ht="12.75" customHeight="1" x14ac:dyDescent="0.2">
      <c r="A13" t="s">
        <v>29</v>
      </c>
      <c r="B13" s="8">
        <v>1</v>
      </c>
      <c r="D13" t="s">
        <v>30</v>
      </c>
      <c r="E13" s="8">
        <v>0.03</v>
      </c>
      <c r="G13" t="s">
        <v>31</v>
      </c>
      <c r="H13" s="9">
        <v>24</v>
      </c>
      <c r="J13" t="s">
        <v>32</v>
      </c>
      <c r="V13" s="25"/>
      <c r="W13" s="25"/>
      <c r="X13" s="25"/>
      <c r="Y13" s="25"/>
      <c r="Z13" s="25"/>
      <c r="AA13" s="25"/>
      <c r="AB13" s="25"/>
      <c r="AC13" s="25"/>
      <c r="AD13" s="25"/>
      <c r="AE13" s="25"/>
    </row>
    <row r="14" spans="1:31" ht="12.75" customHeight="1" x14ac:dyDescent="0.2">
      <c r="A14" t="s">
        <v>33</v>
      </c>
      <c r="B14" s="8">
        <v>0</v>
      </c>
      <c r="D14" s="2" t="s">
        <v>34</v>
      </c>
      <c r="E14">
        <f>B3/2 + B4/2</f>
        <v>7.8264499999999995</v>
      </c>
      <c r="G14" t="s">
        <v>35</v>
      </c>
      <c r="H14" s="9">
        <v>0.01</v>
      </c>
      <c r="J14">
        <f>(H13/(H13+H14))^2</f>
        <v>0.99916718721079878</v>
      </c>
      <c r="V14" s="25"/>
      <c r="W14" s="25"/>
      <c r="X14" s="25"/>
      <c r="Y14" s="25"/>
      <c r="Z14" s="25"/>
      <c r="AA14" s="25"/>
      <c r="AB14" s="25"/>
      <c r="AC14" s="25"/>
      <c r="AD14" s="25"/>
      <c r="AE14" s="25"/>
    </row>
    <row r="15" spans="1:31" ht="12.75" customHeight="1" x14ac:dyDescent="0.2">
      <c r="A15" t="s">
        <v>36</v>
      </c>
      <c r="B15" s="8">
        <v>60</v>
      </c>
      <c r="D15" s="2" t="s">
        <v>37</v>
      </c>
      <c r="E15" s="5">
        <f>E14*2*3.14159</f>
        <v>49.174994110999997</v>
      </c>
      <c r="G15" t="s">
        <v>38</v>
      </c>
      <c r="H15" s="27">
        <v>5.25</v>
      </c>
      <c r="V15" s="25"/>
      <c r="W15" s="25"/>
      <c r="X15" s="25"/>
      <c r="Y15" s="25"/>
      <c r="Z15" s="25"/>
      <c r="AA15" s="25"/>
      <c r="AB15" s="25"/>
      <c r="AC15" s="25"/>
      <c r="AD15" s="25"/>
      <c r="AE15" s="25"/>
    </row>
    <row r="16" spans="1:31" ht="12.75" customHeight="1" x14ac:dyDescent="0.2">
      <c r="A16" t="s">
        <v>39</v>
      </c>
      <c r="B16" s="8">
        <v>0.01</v>
      </c>
      <c r="D16" s="3" t="s">
        <v>40</v>
      </c>
      <c r="E16">
        <f>E15*B5/12</f>
        <v>245.87497055499998</v>
      </c>
      <c r="F16" t="s">
        <v>41</v>
      </c>
      <c r="G16" t="s">
        <v>42</v>
      </c>
      <c r="H16" s="6">
        <f>IF(B14=1,B13*H12*E16*3.8762,B13*H12*E16*1.172)</f>
        <v>207.23765249305015</v>
      </c>
      <c r="V16" s="25"/>
      <c r="W16" s="25"/>
      <c r="X16" s="25"/>
      <c r="Y16" s="25"/>
      <c r="Z16" s="25"/>
      <c r="AA16" s="25"/>
      <c r="AB16" s="25"/>
      <c r="AC16" s="25"/>
      <c r="AD16" s="25"/>
      <c r="AE16" s="25"/>
    </row>
    <row r="17" spans="1:31" ht="12.75" customHeight="1" x14ac:dyDescent="0.2">
      <c r="A17" t="s">
        <v>43</v>
      </c>
      <c r="B17" s="8">
        <v>2</v>
      </c>
      <c r="D17" s="3" t="s">
        <v>44</v>
      </c>
      <c r="E17" s="14">
        <v>0.5</v>
      </c>
      <c r="G17" t="s">
        <v>45</v>
      </c>
      <c r="H17" s="26">
        <f>IF( B14=1, E16 / (B13 * H12) * 10^-5 * 0.81672 * ( (234.5 + 75) / 254.5 ), E16 / (B13 * H12) * 10^-5 * 1.3228 * ( (226 + 75) / 246 ) )</f>
        <v>5.5336688235184854E-3</v>
      </c>
      <c r="I17" t="s">
        <v>46</v>
      </c>
      <c r="K17" s="53" t="s">
        <v>47</v>
      </c>
      <c r="L17" s="54"/>
      <c r="N17" s="26">
        <f>IF(B14=1,E16/(B13*H12)*10^-5*0.81672*((234.5+20)/254.5),E16/(B13*H12)*10^-5*1.3228*((226+20)/246))</f>
        <v>4.5225333242044762E-3</v>
      </c>
      <c r="O17" t="s">
        <v>48</v>
      </c>
      <c r="V17" s="25"/>
      <c r="W17" s="25"/>
      <c r="X17" s="25"/>
      <c r="Y17" s="25"/>
      <c r="Z17" s="25"/>
      <c r="AA17" s="25"/>
      <c r="AB17" s="25"/>
      <c r="AC17" s="25"/>
      <c r="AD17" s="25"/>
      <c r="AE17" s="25"/>
    </row>
    <row r="18" spans="1:31" ht="12.75" customHeight="1" x14ac:dyDescent="0.2">
      <c r="A18" t="s">
        <v>49</v>
      </c>
      <c r="B18" s="8">
        <v>1</v>
      </c>
      <c r="D18" s="3" t="s">
        <v>50</v>
      </c>
      <c r="E18" s="8">
        <v>0.8</v>
      </c>
      <c r="G18" t="s">
        <v>51</v>
      </c>
      <c r="H18" s="6">
        <f>H17*((B12^2+(E12)^2)^0.5)^2+SUM(L5:L11)</f>
        <v>1992.1207764666547</v>
      </c>
      <c r="K18" s="10">
        <v>3</v>
      </c>
      <c r="L18" s="10">
        <v>1</v>
      </c>
      <c r="V18" s="25"/>
      <c r="W18" s="25"/>
      <c r="X18" s="25"/>
      <c r="Y18" s="25"/>
      <c r="Z18" s="25"/>
      <c r="AA18" s="25"/>
      <c r="AB18" s="25"/>
      <c r="AC18" s="25"/>
      <c r="AD18" s="25"/>
      <c r="AE18" s="25"/>
    </row>
    <row r="19" spans="1:31" x14ac:dyDescent="0.2">
      <c r="A19" t="s">
        <v>52</v>
      </c>
      <c r="B19">
        <f>(0.8*(E14)^2*B5^2)/(6*(E14)+9*C2+10*B4)</f>
        <v>589.03774831220107</v>
      </c>
      <c r="C19" t="s">
        <v>53</v>
      </c>
      <c r="G19" t="s">
        <v>54</v>
      </c>
      <c r="H19" s="6">
        <f>IF(B14=1,5.9*B15^2*E13^4*J14*H18+SUM(K5:K11),((5.9*B15^2*E13^4*J14*H18+SUM(K5:K11))/1.65))</f>
        <v>20.754363328367319</v>
      </c>
      <c r="K19" s="10">
        <v>3.5</v>
      </c>
      <c r="L19" s="10">
        <v>1.5</v>
      </c>
    </row>
    <row r="20" spans="1:31" x14ac:dyDescent="0.2">
      <c r="A20" t="s">
        <v>55</v>
      </c>
      <c r="B20">
        <f>((0.2257*C2*6.28*E14*3.6/(B16*10^6))*(B15-B17-1)+(0.2257*C2*6.28*E14*1/((B16+E17)*10^6))*B17)/(B15-1)</f>
        <v>9.261377661845363E-2</v>
      </c>
      <c r="G20" t="s">
        <v>56</v>
      </c>
      <c r="H20" s="6">
        <f>H18+H19</f>
        <v>2012.8751397950221</v>
      </c>
      <c r="I20" s="6">
        <f>H18+H19</f>
        <v>2012.8751397950221</v>
      </c>
      <c r="K20" s="10">
        <v>5</v>
      </c>
      <c r="L20" s="10">
        <v>2.5625</v>
      </c>
    </row>
    <row r="21" spans="1:31" x14ac:dyDescent="0.2">
      <c r="A21" t="s">
        <v>57</v>
      </c>
      <c r="B21">
        <f>((0.2257*C2*6.28*E14*3.6/(B16*10^6))/(B15-B17)+(0.2257*C2*6.28*E14*1/((B16+E17)*10^6)))/B17</f>
        <v>1.087266542834369E-3</v>
      </c>
      <c r="G21" t="s">
        <v>58</v>
      </c>
      <c r="H21" s="6">
        <f>((B4+B3/2)^2*3.14159-(B3/2)^2*3.14159)*2+E15*C2*(2+B17*2)*E18</f>
        <v>6024.2219935633439</v>
      </c>
      <c r="I21" s="6">
        <f>((B4+B3/2)^2*3.14159-(B3/2)^2*3.14159)*2+E15*C2*(2)</f>
        <v>2719.6623893041437</v>
      </c>
      <c r="K21" s="10">
        <v>5.625</v>
      </c>
      <c r="L21" s="10">
        <v>3.125</v>
      </c>
    </row>
    <row r="22" spans="1:31" x14ac:dyDescent="0.2">
      <c r="A22" t="s">
        <v>59</v>
      </c>
      <c r="B22">
        <f>(1/(B19*B21*10^-12))^0.5/(2*PI())*0.001</f>
        <v>198.87516633108524</v>
      </c>
      <c r="D22" s="11" t="s">
        <v>60</v>
      </c>
      <c r="G22" t="s">
        <v>61</v>
      </c>
      <c r="H22" s="26">
        <f>H20/H21</f>
        <v>0.33413030627784035</v>
      </c>
      <c r="I22" s="26">
        <f>I20/I21</f>
        <v>0.74011948972461938</v>
      </c>
      <c r="K22" s="10">
        <v>9.375</v>
      </c>
      <c r="L22" s="10">
        <v>4.625</v>
      </c>
    </row>
    <row r="23" spans="1:31" x14ac:dyDescent="0.2">
      <c r="A23" t="s">
        <v>62</v>
      </c>
      <c r="C23">
        <f>( (H17^2) + ( B19*10^-6 * 2 * PI() * 60 )^2 )^0.5</f>
        <v>0.22213093689929506</v>
      </c>
      <c r="D23" s="11">
        <v>1.1000000000000001</v>
      </c>
      <c r="G23" t="s">
        <v>63</v>
      </c>
      <c r="H23" s="12">
        <f>75*H22^0.8</f>
        <v>31.202828092867509</v>
      </c>
      <c r="I23">
        <f>75*I22^0.8</f>
        <v>58.952569095696525</v>
      </c>
      <c r="O23" s="5" t="s">
        <v>64</v>
      </c>
      <c r="P23">
        <f>$E$15</f>
        <v>49.174994110999997</v>
      </c>
      <c r="S23" s="5" t="s">
        <v>64</v>
      </c>
      <c r="T23">
        <f>$E$15</f>
        <v>49.174994110999997</v>
      </c>
    </row>
    <row r="24" spans="1:31" x14ac:dyDescent="0.2">
      <c r="A24" t="s">
        <v>65</v>
      </c>
      <c r="C24" s="9">
        <v>600</v>
      </c>
      <c r="G24" t="s">
        <v>66</v>
      </c>
      <c r="H24" s="12">
        <f>(B12^2+(E12+SUM(H5:H11))^2)^0.5/(B13*H12)</f>
        <v>834.30437092059924</v>
      </c>
      <c r="O24" s="5" t="s">
        <v>67</v>
      </c>
      <c r="P24">
        <v>1</v>
      </c>
      <c r="S24" s="5" t="s">
        <v>68</v>
      </c>
      <c r="T24">
        <v>2.5</v>
      </c>
    </row>
    <row r="25" spans="1:31" x14ac:dyDescent="0.2">
      <c r="A25" t="s">
        <v>69</v>
      </c>
      <c r="C25">
        <f>C23 * C24</f>
        <v>133.27856213957705</v>
      </c>
      <c r="O25" s="5" t="s">
        <v>70</v>
      </c>
      <c r="P25">
        <f>$B$2</f>
        <v>34.5</v>
      </c>
      <c r="S25" s="5" t="s">
        <v>71</v>
      </c>
      <c r="T25">
        <f>FLOOR( T23 / T24, 1 )</f>
        <v>19</v>
      </c>
    </row>
    <row r="26" spans="1:31" x14ac:dyDescent="0.2">
      <c r="A26" t="s">
        <v>72</v>
      </c>
      <c r="O26" s="5" t="s">
        <v>73</v>
      </c>
      <c r="P26">
        <v>1</v>
      </c>
      <c r="S26" s="5" t="s">
        <v>74</v>
      </c>
      <c r="T26">
        <f>$B$17</f>
        <v>2</v>
      </c>
    </row>
    <row r="27" spans="1:31" x14ac:dyDescent="0.2">
      <c r="A27" t="s">
        <v>75</v>
      </c>
      <c r="O27" s="5" t="s">
        <v>76</v>
      </c>
      <c r="P27">
        <v>1.05</v>
      </c>
      <c r="S27" s="5" t="s">
        <v>77</v>
      </c>
      <c r="T27" s="12">
        <f>T25 * T26</f>
        <v>38</v>
      </c>
    </row>
    <row r="28" spans="1:31" x14ac:dyDescent="0.2">
      <c r="G28" s="10" t="s">
        <v>78</v>
      </c>
      <c r="H28" s="10">
        <f>IF(B14=1,  E16/(B13*H12)*10^-5*0.81672*((234.5+20)/254.5),   E16/(B13*H12)*10^-5*1.3228*((226+20)/246)   )</f>
        <v>4.5225333242044762E-3</v>
      </c>
      <c r="O28" s="5" t="s">
        <v>79</v>
      </c>
      <c r="P28" s="12">
        <f>( P23 + P24 ) * P25 * P26 * P27</f>
        <v>1817.5891616709748</v>
      </c>
    </row>
    <row r="29" spans="1:31" x14ac:dyDescent="0.2">
      <c r="A29" t="s">
        <v>80</v>
      </c>
      <c r="B29" t="s">
        <v>113</v>
      </c>
      <c r="G29" s="10" t="s">
        <v>82</v>
      </c>
      <c r="H29" s="10">
        <f>D23 / ( 2 * PI() * 60 ) * 1000</f>
        <v>2.9178406233514149</v>
      </c>
    </row>
    <row r="30" spans="1:31" x14ac:dyDescent="0.2">
      <c r="A30" t="s">
        <v>83</v>
      </c>
      <c r="G30" s="10" t="s">
        <v>84</v>
      </c>
      <c r="H30" s="10">
        <f>H29*0.9</f>
        <v>2.6260565610162736</v>
      </c>
    </row>
    <row r="31" spans="1:31" x14ac:dyDescent="0.2">
      <c r="A31" t="s">
        <v>85</v>
      </c>
      <c r="B31" s="13">
        <v>10000</v>
      </c>
      <c r="D31" t="s">
        <v>86</v>
      </c>
      <c r="E31" s="6">
        <f>H20*(B31/(E12+B12))^2</f>
        <v>559131.98327639513</v>
      </c>
      <c r="G31" s="10" t="s">
        <v>87</v>
      </c>
      <c r="H31" s="12">
        <f>B31/(B13*H12)</f>
        <v>13905.072848676655</v>
      </c>
    </row>
    <row r="32" spans="1:31" x14ac:dyDescent="0.2">
      <c r="A32" t="s">
        <v>88</v>
      </c>
      <c r="B32" s="13">
        <v>2</v>
      </c>
      <c r="D32" t="s">
        <v>89</v>
      </c>
      <c r="E32" s="26">
        <f>E31/H21</f>
        <v>92.813973966066783</v>
      </c>
      <c r="O32" s="5" t="s">
        <v>90</v>
      </c>
      <c r="P32">
        <f>$B$6</f>
        <v>19.305799999999998</v>
      </c>
      <c r="S32" s="5" t="s">
        <v>64</v>
      </c>
      <c r="T32">
        <f>$E$15</f>
        <v>49.174994110999997</v>
      </c>
    </row>
    <row r="33" spans="1:20" x14ac:dyDescent="0.2">
      <c r="A33" t="s">
        <v>91</v>
      </c>
      <c r="B33" s="6">
        <f>E32^0.8 * 75 * B32 / 3600 + H23</f>
        <v>32.765541912204071</v>
      </c>
      <c r="O33" s="5" t="s">
        <v>67</v>
      </c>
      <c r="P33">
        <v>1</v>
      </c>
      <c r="S33" s="5" t="s">
        <v>92</v>
      </c>
      <c r="T33">
        <f>$H$15</f>
        <v>5.25</v>
      </c>
    </row>
    <row r="34" spans="1:20" ht="13.5" customHeight="1" thickBot="1" x14ac:dyDescent="0.25">
      <c r="A34" t="s">
        <v>93</v>
      </c>
      <c r="B34" s="6">
        <f>E31 * B32 / (H16 * 453.592 * IF(B14=1, 0.385, 0.897)) + H23</f>
        <v>44.465097246152681</v>
      </c>
      <c r="O34" s="5" t="s">
        <v>70</v>
      </c>
      <c r="P34">
        <f>$B$2</f>
        <v>34.5</v>
      </c>
      <c r="S34" s="5" t="s">
        <v>94</v>
      </c>
      <c r="T34">
        <f>$B$15</f>
        <v>60</v>
      </c>
    </row>
    <row r="35" spans="1:20" x14ac:dyDescent="0.2">
      <c r="B35" s="41" t="s">
        <v>95</v>
      </c>
      <c r="C35" s="42"/>
      <c r="D35" s="42"/>
      <c r="E35" s="42"/>
      <c r="F35" s="42"/>
      <c r="G35" s="42"/>
      <c r="H35" s="43"/>
      <c r="O35" s="5" t="s">
        <v>96</v>
      </c>
      <c r="P35">
        <v>1</v>
      </c>
      <c r="S35" s="5" t="s">
        <v>97</v>
      </c>
      <c r="T35">
        <v>2</v>
      </c>
    </row>
    <row r="36" spans="1:20" x14ac:dyDescent="0.2">
      <c r="B36" s="15"/>
      <c r="H36" s="16"/>
      <c r="O36" s="5" t="s">
        <v>76</v>
      </c>
      <c r="P36">
        <v>1.05</v>
      </c>
      <c r="S36" s="5" t="s">
        <v>76</v>
      </c>
      <c r="T36">
        <v>1.05</v>
      </c>
    </row>
    <row r="37" spans="1:20" x14ac:dyDescent="0.2">
      <c r="B37" s="17">
        <v>1.1499999999999999</v>
      </c>
      <c r="C37" s="24">
        <v>150</v>
      </c>
      <c r="D37" s="18">
        <f>B15</f>
        <v>60</v>
      </c>
      <c r="E37" s="19">
        <v>1.33</v>
      </c>
      <c r="F37" s="20">
        <f>( ( B37* C37 ) / B15 )^ 1.33</f>
        <v>4.0736933980077081</v>
      </c>
      <c r="G37" t="s">
        <v>98</v>
      </c>
      <c r="H37" s="16"/>
      <c r="O37" s="5" t="s">
        <v>99</v>
      </c>
      <c r="P37" s="12">
        <f>( ( P32 * PI() ) + P33 ) * P34 * P35 * P36</f>
        <v>2233.3060061368842</v>
      </c>
      <c r="S37" s="5" t="s">
        <v>100</v>
      </c>
      <c r="T37" s="12">
        <f>T32 * T33 * 2 * T34 * T35 * T36</f>
        <v>65058.517208852994</v>
      </c>
    </row>
    <row r="38" spans="1:20" ht="13.5" customHeight="1" thickBot="1" x14ac:dyDescent="0.25">
      <c r="B38" s="21"/>
      <c r="C38" s="22"/>
      <c r="D38" s="22"/>
      <c r="E38" s="22"/>
      <c r="F38" s="22"/>
      <c r="G38" s="22"/>
      <c r="H38" s="23"/>
    </row>
    <row r="40" spans="1:20" x14ac:dyDescent="0.2">
      <c r="B40" s="44" t="s">
        <v>114</v>
      </c>
      <c r="C40" s="45"/>
      <c r="D40" s="45"/>
      <c r="E40" s="45"/>
      <c r="F40" s="45"/>
      <c r="G40" s="45"/>
      <c r="H40" s="46"/>
      <c r="S40" s="5"/>
    </row>
    <row r="41" spans="1:20" x14ac:dyDescent="0.2">
      <c r="B41" s="47"/>
      <c r="C41" s="48"/>
      <c r="D41" s="48"/>
      <c r="E41" s="48"/>
      <c r="F41" s="48"/>
      <c r="G41" s="48"/>
      <c r="H41" s="49"/>
      <c r="O41" s="5" t="s">
        <v>102</v>
      </c>
      <c r="P41">
        <v>9.25</v>
      </c>
      <c r="S41" s="5" t="s">
        <v>103</v>
      </c>
      <c r="T41">
        <v>5</v>
      </c>
    </row>
    <row r="42" spans="1:20" x14ac:dyDescent="0.2">
      <c r="B42" s="47"/>
      <c r="C42" s="48"/>
      <c r="D42" s="48"/>
      <c r="E42" s="48"/>
      <c r="F42" s="48"/>
      <c r="G42" s="48"/>
      <c r="H42" s="49"/>
      <c r="O42" s="5" t="s">
        <v>104</v>
      </c>
      <c r="P42">
        <f>$B$3</f>
        <v>12</v>
      </c>
      <c r="S42" s="5" t="s">
        <v>105</v>
      </c>
      <c r="T42">
        <f>$B$2</f>
        <v>34.5</v>
      </c>
    </row>
    <row r="43" spans="1:20" x14ac:dyDescent="0.2">
      <c r="B43" s="47"/>
      <c r="C43" s="48"/>
      <c r="D43" s="48"/>
      <c r="E43" s="48"/>
      <c r="F43" s="48"/>
      <c r="G43" s="48"/>
      <c r="H43" s="49"/>
      <c r="O43" s="5" t="s">
        <v>106</v>
      </c>
      <c r="P43">
        <f>(P41 + P42 ) / 2 * PI()</f>
        <v>33.379421944391552</v>
      </c>
      <c r="S43" s="5" t="s">
        <v>107</v>
      </c>
      <c r="T43">
        <v>0</v>
      </c>
    </row>
    <row r="44" spans="1:20" x14ac:dyDescent="0.2">
      <c r="B44" s="47"/>
      <c r="C44" s="48"/>
      <c r="D44" s="48"/>
      <c r="E44" s="48"/>
      <c r="F44" s="48"/>
      <c r="G44" s="48"/>
      <c r="H44" s="49"/>
      <c r="O44" s="5" t="s">
        <v>108</v>
      </c>
      <c r="P44">
        <f>ROUND( (P42-P41) / 2 * 32,0)</f>
        <v>44</v>
      </c>
      <c r="S44" s="5" t="s">
        <v>97</v>
      </c>
      <c r="T44">
        <v>4</v>
      </c>
    </row>
    <row r="45" spans="1:20" x14ac:dyDescent="0.2">
      <c r="B45" s="50"/>
      <c r="C45" s="51"/>
      <c r="D45" s="51"/>
      <c r="E45" s="51"/>
      <c r="F45" s="51"/>
      <c r="G45" s="51"/>
      <c r="H45" s="52"/>
      <c r="O45" s="5" t="s">
        <v>109</v>
      </c>
      <c r="P45">
        <v>3.5</v>
      </c>
      <c r="S45" s="5" t="s">
        <v>76</v>
      </c>
      <c r="T45">
        <v>1.05</v>
      </c>
    </row>
    <row r="46" spans="1:20" x14ac:dyDescent="0.2">
      <c r="O46" s="5" t="s">
        <v>105</v>
      </c>
      <c r="P46">
        <f>$B$2</f>
        <v>34.5</v>
      </c>
      <c r="S46" s="5" t="s">
        <v>110</v>
      </c>
      <c r="T46" s="12">
        <f>(T42 + T43 ) * T41 * T44 * T45</f>
        <v>724.5</v>
      </c>
    </row>
    <row r="47" spans="1:20" x14ac:dyDescent="0.2">
      <c r="O47" s="5" t="s">
        <v>111</v>
      </c>
      <c r="P47">
        <v>3</v>
      </c>
    </row>
    <row r="48" spans="1:20" x14ac:dyDescent="0.2">
      <c r="O48" s="5" t="s">
        <v>76</v>
      </c>
      <c r="P48">
        <v>1.05</v>
      </c>
    </row>
    <row r="49" spans="15:16" x14ac:dyDescent="0.2">
      <c r="O49" s="5" t="s">
        <v>112</v>
      </c>
      <c r="P49" s="12">
        <f>P44 * ( P43 * (P45 + P46 + P47 ) ) * P48</f>
        <v>63227.301047066481</v>
      </c>
    </row>
  </sheetData>
  <mergeCells count="3">
    <mergeCell ref="B35:H35"/>
    <mergeCell ref="B40:H45"/>
    <mergeCell ref="K17:L17"/>
  </mergeCells>
  <dataValidations count="3">
    <dataValidation type="list" allowBlank="1" sqref="B3" xr:uid="{00000000-0002-0000-0100-000000000000}">
      <formula1>"9.375,5.625,5,3.5,3"</formula1>
    </dataValidation>
    <dataValidation type="list" allowBlank="1" sqref="E13" xr:uid="{00000000-0002-0000-0100-000001000000}">
      <formula1>".064,.072,.081,.091,.102,.114,.128,.144,.162,.182,.204"</formula1>
    </dataValidation>
    <dataValidation type="list" allowBlank="1" sqref="H13" xr:uid="{00000000-0002-0000-0100-000002000000}">
      <formula1>".162,.182,.204,.258,.289,.325,.365,.410,.460"</formula1>
    </dataValidation>
  </dataValidations>
  <pageMargins left="0.75" right="0.75" top="1" bottom="1" header="0.5" footer="0.5"/>
  <pageSetup scale="49" firstPageNumber="0" orientation="portrait" horizontalDpi="300" verticalDpi="300"/>
  <headerFooter alignWithMargins="0">
    <oddHeader>&amp;C&amp;F</oddHeader>
    <oddFooter>&amp;CPage &amp;P</oddFooter>
  </headerFooter>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E49"/>
  <sheetViews>
    <sheetView zoomScaleNormal="100" workbookViewId="0">
      <selection activeCell="E29" sqref="E29"/>
    </sheetView>
  </sheetViews>
  <sheetFormatPr defaultRowHeight="12.75" x14ac:dyDescent="0.2"/>
  <cols>
    <col min="1" max="1" width="18.42578125" customWidth="1"/>
    <col min="3" max="3" width="9.5703125" bestFit="1" customWidth="1"/>
    <col min="4" max="4" width="13.28515625" bestFit="1" customWidth="1"/>
    <col min="7" max="7" width="12.140625" bestFit="1" customWidth="1"/>
    <col min="8" max="8" width="10" customWidth="1"/>
  </cols>
  <sheetData>
    <row r="1" spans="1:31" x14ac:dyDescent="0.2">
      <c r="A1" s="1" t="s">
        <v>0</v>
      </c>
      <c r="D1">
        <f>B3+B4</f>
        <v>16.066679999999998</v>
      </c>
      <c r="E1" s="2" t="s">
        <v>1</v>
      </c>
      <c r="H1" s="2" t="s">
        <v>2</v>
      </c>
      <c r="J1" s="5"/>
    </row>
    <row r="2" spans="1:31" x14ac:dyDescent="0.2">
      <c r="A2" t="s">
        <v>3</v>
      </c>
      <c r="B2">
        <f>IF( B5 = B15, H13 * B13 + H14 * (B13 - 1) + 2 * H15, INT( 16 * (B18 + 1) * H13 * B13 ) / 16 + 0.0625 + H14 * B18 + 2 * H15 )</f>
        <v>17.4375</v>
      </c>
      <c r="C2">
        <f>IF( B5 = B15, H13 * B13 + H14 * (B13 - 1), B18 * H13 * B13 + H14 * (B13 - 1) )</f>
        <v>6.57</v>
      </c>
      <c r="D2">
        <f>C2/D1</f>
        <v>0.40892082247234657</v>
      </c>
      <c r="E2" s="2" t="s">
        <v>4</v>
      </c>
      <c r="G2" s="2" t="s">
        <v>5</v>
      </c>
      <c r="H2" s="4">
        <v>1.1100000000000001</v>
      </c>
    </row>
    <row r="3" spans="1:31" ht="12.75" customHeight="1" x14ac:dyDescent="0.2">
      <c r="A3" t="s">
        <v>6</v>
      </c>
      <c r="B3" s="7">
        <f>9.25 + 0.5</f>
        <v>9.75</v>
      </c>
      <c r="D3">
        <f>B4/D1</f>
        <v>0.39315403057756804</v>
      </c>
      <c r="E3" s="2" t="s">
        <v>7</v>
      </c>
      <c r="V3" s="25"/>
      <c r="W3" s="25"/>
      <c r="X3" s="25"/>
      <c r="Y3" s="25"/>
      <c r="Z3" s="25"/>
      <c r="AA3" s="25"/>
      <c r="AB3" s="25"/>
      <c r="AC3" s="25"/>
      <c r="AD3" s="25"/>
      <c r="AE3" s="25"/>
    </row>
    <row r="4" spans="1:31" ht="12.75" customHeight="1" x14ac:dyDescent="0.2">
      <c r="A4" t="s">
        <v>8</v>
      </c>
      <c r="B4">
        <f>(B15 * E13 + (B15 - 1) * B16 ) * H2 + B17 * E17</f>
        <v>6.3166799999999999</v>
      </c>
      <c r="D4">
        <f>D2/(((1/(24.3122-6.791^D3))*D2+0.0541*1.0003^(1/D3)*D3^0.4775))</f>
        <v>7.7013017369613728</v>
      </c>
      <c r="E4" s="2" t="s">
        <v>9</v>
      </c>
      <c r="G4" s="2" t="s">
        <v>10</v>
      </c>
      <c r="H4" s="2" t="s">
        <v>11</v>
      </c>
      <c r="I4" s="2" t="s">
        <v>12</v>
      </c>
      <c r="J4" s="2" t="s">
        <v>13</v>
      </c>
      <c r="K4" s="2" t="s">
        <v>14</v>
      </c>
      <c r="L4" s="2" t="s">
        <v>15</v>
      </c>
      <c r="M4" t="s">
        <v>16</v>
      </c>
      <c r="N4" t="s">
        <v>17</v>
      </c>
      <c r="O4" s="2" t="s">
        <v>18</v>
      </c>
      <c r="P4" s="2" t="s">
        <v>19</v>
      </c>
      <c r="Q4" s="2" t="s">
        <v>20</v>
      </c>
      <c r="R4" s="2" t="s">
        <v>21</v>
      </c>
      <c r="V4" s="25"/>
      <c r="W4" s="25"/>
      <c r="X4" s="25"/>
      <c r="Y4" s="25"/>
      <c r="Z4" s="25"/>
      <c r="AA4" s="25"/>
      <c r="AB4" s="25"/>
      <c r="AC4" s="25"/>
      <c r="AD4" s="25"/>
      <c r="AE4" s="25"/>
    </row>
    <row r="5" spans="1:31" ht="12.75" customHeight="1" x14ac:dyDescent="0.2">
      <c r="A5" t="s">
        <v>22</v>
      </c>
      <c r="B5" s="7">
        <f>B15 * B18</f>
        <v>378</v>
      </c>
      <c r="G5" s="7">
        <v>2000</v>
      </c>
      <c r="H5" s="7">
        <v>0</v>
      </c>
      <c r="I5">
        <f>2^0.5*3.2*B5*H5/(C2)</f>
        <v>0</v>
      </c>
      <c r="J5">
        <f>62.5*E13^2*G5^2*(I5^2)/3*10^-11</f>
        <v>0</v>
      </c>
      <c r="K5">
        <f>J5*H16</f>
        <v>0</v>
      </c>
      <c r="L5">
        <f t="shared" ref="L5:L11" si="0">M5*H5^2</f>
        <v>0</v>
      </c>
      <c r="M5">
        <f>H17*N5</f>
        <v>73.980401907370009</v>
      </c>
      <c r="N5">
        <f>R5+((B15^2-1)/3)*Q5</f>
        <v>214.94471231252973</v>
      </c>
      <c r="O5">
        <f>E13/P5</f>
        <v>1.9386411222526176</v>
      </c>
      <c r="P5">
        <f>IF(B14=1,7.5/G5^0.5/2.54,7.5*1.618/G5^0.5/2.54)</f>
        <v>6.6025629256883558E-2</v>
      </c>
      <c r="Q5">
        <f t="shared" ref="Q5:Q11" si="1">2*O5*((EXP(O5)-EXP(-O5)-2*SIN(O5))/(EXP(O5)+EXP(O5)+2*COS(O5)))</f>
        <v>1.4530749705382162</v>
      </c>
      <c r="R5">
        <f t="shared" ref="R5:R11" si="2">O5*((EXP(2*O5)-EXP(-2*O5)+2*SIN(2*O5))/(EXP(2*O5)+EXP(-2*O5)-2*COS(2*O5)))</f>
        <v>1.827049966924706</v>
      </c>
      <c r="V5" s="25"/>
      <c r="W5" s="25"/>
      <c r="X5" s="25"/>
      <c r="Y5" s="25"/>
      <c r="Z5" s="25"/>
      <c r="AA5" s="25"/>
      <c r="AB5" s="25"/>
      <c r="AC5" s="25"/>
      <c r="AD5" s="25"/>
      <c r="AE5" s="25"/>
    </row>
    <row r="6" spans="1:31" ht="12.75" customHeight="1" x14ac:dyDescent="0.2">
      <c r="A6" t="s">
        <v>23</v>
      </c>
      <c r="B6">
        <f>B3+2*B4</f>
        <v>22.38336</v>
      </c>
      <c r="G6" s="7">
        <v>1000</v>
      </c>
      <c r="H6" s="7">
        <v>0</v>
      </c>
      <c r="I6">
        <f>2^0.5*3.2*B5*H6/(C2)</f>
        <v>0</v>
      </c>
      <c r="J6">
        <f>62.5*E13^2*G6^2*(I6^2)/3*10^-11</f>
        <v>0</v>
      </c>
      <c r="K6">
        <f>J6*H16</f>
        <v>0</v>
      </c>
      <c r="L6">
        <f t="shared" si="0"/>
        <v>0</v>
      </c>
      <c r="M6">
        <f>H17*N6</f>
        <v>29.284574460924574</v>
      </c>
      <c r="N6">
        <f>R6+((B15^2-1)/3)*Q6</f>
        <v>85.084215149028765</v>
      </c>
      <c r="O6">
        <f>E13/P6</f>
        <v>1.3708262838319247</v>
      </c>
      <c r="P6">
        <f>IF(B14=1,7.5/G6^0.5/2.54,7.5*1.618/G6^0.5/2.54)</f>
        <v>9.3374340359302532E-2</v>
      </c>
      <c r="Q6">
        <f t="shared" si="1"/>
        <v>0.57141288929359946</v>
      </c>
      <c r="R6">
        <f t="shared" si="2"/>
        <v>1.2769913859675148</v>
      </c>
      <c r="V6" s="25"/>
      <c r="W6" s="25"/>
      <c r="X6" s="25"/>
      <c r="Y6" s="25"/>
      <c r="Z6" s="25"/>
      <c r="AA6" s="25"/>
      <c r="AB6" s="25"/>
      <c r="AC6" s="25"/>
      <c r="AD6" s="25"/>
      <c r="AE6" s="25"/>
    </row>
    <row r="7" spans="1:31" ht="12.75" customHeight="1" x14ac:dyDescent="0.2">
      <c r="A7" t="s">
        <v>24</v>
      </c>
      <c r="B7">
        <f>IF(B18=1,     D4*D1^2*B5^2*10^-3/C2,    D4*D1^2*B5^2*10^-3/C2    )</f>
        <v>43234.919765106803</v>
      </c>
      <c r="C7" t="s">
        <v>25</v>
      </c>
      <c r="G7" s="8">
        <v>500</v>
      </c>
      <c r="H7" s="8">
        <v>0</v>
      </c>
      <c r="I7">
        <f>2^0.5*3.2*B5*H7/(C2)</f>
        <v>0</v>
      </c>
      <c r="J7">
        <f>62.5*E13^2*G7^2*(I7^2)/3*10^-11</f>
        <v>0</v>
      </c>
      <c r="K7">
        <f>J7*H16</f>
        <v>0</v>
      </c>
      <c r="L7">
        <f t="shared" si="0"/>
        <v>0</v>
      </c>
      <c r="M7">
        <f>H17*N7</f>
        <v>9.6585462001062865</v>
      </c>
      <c r="N7">
        <f>R7+((B15^2-1)/3)*Q7</f>
        <v>28.062208109365571</v>
      </c>
      <c r="O7">
        <f>E13/P7</f>
        <v>0.96932056112630882</v>
      </c>
      <c r="P7">
        <f>IF(B14=1,7.5/G7^0.5/2.54,7.5*1.618/G7^0.5/2.54)</f>
        <v>0.13205125851376712</v>
      </c>
      <c r="Q7">
        <f t="shared" si="1"/>
        <v>0.18399738274011807</v>
      </c>
      <c r="R7">
        <f t="shared" si="2"/>
        <v>1.07592530748159</v>
      </c>
      <c r="V7" s="25"/>
      <c r="W7" s="25"/>
      <c r="X7" s="25"/>
      <c r="Y7" s="25"/>
      <c r="Z7" s="25"/>
      <c r="AA7" s="25"/>
      <c r="AB7" s="25"/>
      <c r="AC7" s="25"/>
      <c r="AD7" s="25"/>
      <c r="AE7" s="25"/>
    </row>
    <row r="8" spans="1:31" ht="12.75" customHeight="1" x14ac:dyDescent="0.2">
      <c r="G8" s="8">
        <v>100</v>
      </c>
      <c r="H8" s="8">
        <v>0</v>
      </c>
      <c r="I8">
        <f>2^0.5*3.2*B5*H8/(C2)</f>
        <v>0</v>
      </c>
      <c r="J8">
        <f>62.5*E13^2*G8^2*(I8^2)/3*10^-11</f>
        <v>0</v>
      </c>
      <c r="K8">
        <f>J8*H16</f>
        <v>0</v>
      </c>
      <c r="L8">
        <f t="shared" si="0"/>
        <v>0</v>
      </c>
      <c r="M8">
        <f>H17*N8</f>
        <v>0.83031280129295071</v>
      </c>
      <c r="N8">
        <f>R8+((B15^2-1)/3)*Q8</f>
        <v>2.4124138501813741</v>
      </c>
      <c r="O8">
        <f>E13/P8</f>
        <v>0.4334933333333334</v>
      </c>
      <c r="P8">
        <f>IF(B14=1,7.5/G8^0.5/2.54,7.5*1.618/G8^0.5/2.54)</f>
        <v>0.29527559055118108</v>
      </c>
      <c r="Q8">
        <f t="shared" si="1"/>
        <v>9.6087216062381159E-3</v>
      </c>
      <c r="R8">
        <f t="shared" si="2"/>
        <v>1.0031346812664506</v>
      </c>
      <c r="V8" s="25"/>
      <c r="W8" s="25"/>
      <c r="X8" s="25"/>
      <c r="Y8" s="25"/>
      <c r="Z8" s="25"/>
      <c r="AA8" s="25"/>
      <c r="AB8" s="25"/>
      <c r="AC8" s="25"/>
      <c r="AD8" s="25"/>
      <c r="AE8" s="25"/>
    </row>
    <row r="9" spans="1:31" ht="12.75" customHeight="1" x14ac:dyDescent="0.2">
      <c r="G9" s="8">
        <v>10000</v>
      </c>
      <c r="H9" s="8">
        <v>0</v>
      </c>
      <c r="I9">
        <f>2^0.5*3.2*B5*H9/(C2)</f>
        <v>0</v>
      </c>
      <c r="J9">
        <f>62.5*E13^2*G9^2*(I9^2)/3*10^-11</f>
        <v>0</v>
      </c>
      <c r="K9">
        <f>J9*H16</f>
        <v>0</v>
      </c>
      <c r="L9">
        <f t="shared" si="0"/>
        <v>0</v>
      </c>
      <c r="M9">
        <f>H17*N9</f>
        <v>226.70124900373307</v>
      </c>
      <c r="N9">
        <f>R9+((B15^2-1)/3)*Q9</f>
        <v>658.66409875700083</v>
      </c>
      <c r="O9">
        <f>E13/P9</f>
        <v>4.3349333333333337</v>
      </c>
      <c r="P9">
        <f>IF(B14=1,7.5/G9^0.5/2.54,7.5*1.618/G9^0.5/2.54)</f>
        <v>2.952755905511811E-2</v>
      </c>
      <c r="Q9">
        <f t="shared" si="1"/>
        <v>4.4613356579183829</v>
      </c>
      <c r="R9">
        <f t="shared" si="2"/>
        <v>4.3348689289713196</v>
      </c>
      <c r="V9" s="25"/>
      <c r="W9" s="25"/>
      <c r="X9" s="25"/>
      <c r="Y9" s="25"/>
      <c r="Z9" s="25"/>
      <c r="AA9" s="25"/>
      <c r="AB9" s="25"/>
      <c r="AC9" s="25"/>
      <c r="AD9" s="25"/>
      <c r="AE9" s="25"/>
    </row>
    <row r="10" spans="1:31" ht="12.75" customHeight="1" x14ac:dyDescent="0.2">
      <c r="G10" s="8">
        <v>20000</v>
      </c>
      <c r="H10" s="8">
        <v>0</v>
      </c>
      <c r="I10">
        <f>2^0.5*3.2*B5*H10/(C2)</f>
        <v>0</v>
      </c>
      <c r="J10">
        <f>62.5*E13^2*G10^2*(I10^2)/3*10^-11</f>
        <v>0</v>
      </c>
      <c r="K10">
        <f>J10*H16</f>
        <v>0</v>
      </c>
      <c r="L10">
        <f t="shared" si="0"/>
        <v>0</v>
      </c>
      <c r="M10">
        <f>H17*N10</f>
        <v>311.11906623355242</v>
      </c>
      <c r="N10">
        <f>R10+((B15^2-1)/3)*Q10</f>
        <v>903.93396713693448</v>
      </c>
      <c r="O10">
        <f>E13/P10</f>
        <v>6.1305215119832086</v>
      </c>
      <c r="P10">
        <f>IF(B14=1,7.5/G10^0.5/2.54,7.5*1.618/G10^0.5/2.54)</f>
        <v>2.0879137239760263E-2</v>
      </c>
      <c r="Q10">
        <f t="shared" si="1"/>
        <v>6.1213868708555932</v>
      </c>
      <c r="R10">
        <f t="shared" si="2"/>
        <v>6.1305594114475026</v>
      </c>
      <c r="V10" s="25"/>
      <c r="W10" s="25"/>
      <c r="X10" s="25"/>
      <c r="Y10" s="25"/>
      <c r="Z10" s="25"/>
      <c r="AA10" s="25"/>
      <c r="AB10" s="25"/>
      <c r="AC10" s="25"/>
      <c r="AD10" s="25"/>
      <c r="AE10" s="25"/>
    </row>
    <row r="11" spans="1:31" ht="12.75" customHeight="1" x14ac:dyDescent="0.2">
      <c r="G11" s="8">
        <v>420</v>
      </c>
      <c r="H11" s="8">
        <v>0</v>
      </c>
      <c r="I11">
        <f>2^0.5*3.2*B5*H11/C2</f>
        <v>0</v>
      </c>
      <c r="J11">
        <f>62.5*E13^2*G11^2*(I11^2)/3*10^-11</f>
        <v>0</v>
      </c>
      <c r="K11">
        <f>J11*H16</f>
        <v>0</v>
      </c>
      <c r="L11">
        <f t="shared" si="0"/>
        <v>0</v>
      </c>
      <c r="M11">
        <f>H17*N11</f>
        <v>7.2143886915914299</v>
      </c>
      <c r="N11">
        <f>R11+((B15^2-1)/3)*Q11</f>
        <v>20.960885070163503</v>
      </c>
      <c r="O11">
        <f>E13/P11</f>
        <v>0.88839696880767594</v>
      </c>
      <c r="P11">
        <f>IF(B14=1,7.5/G11^0.5/2.54,7.5*1.618/G11^0.5/2.54)</f>
        <v>0.14407973517940942</v>
      </c>
      <c r="Q11">
        <f t="shared" si="1"/>
        <v>0.13572815594211277</v>
      </c>
      <c r="R11">
        <f t="shared" si="2"/>
        <v>1.0540888653202998</v>
      </c>
      <c r="V11" s="25"/>
      <c r="W11" s="25"/>
      <c r="X11" s="25"/>
      <c r="Y11" s="25"/>
      <c r="Z11" s="25"/>
      <c r="AA11" s="25"/>
      <c r="AB11" s="25"/>
      <c r="AC11" s="25"/>
      <c r="AD11" s="25"/>
      <c r="AE11" s="25"/>
    </row>
    <row r="12" spans="1:31" ht="12.75" customHeight="1" x14ac:dyDescent="0.2">
      <c r="A12" t="s">
        <v>26</v>
      </c>
      <c r="B12" s="8">
        <v>0</v>
      </c>
      <c r="D12" t="s">
        <v>27</v>
      </c>
      <c r="E12" s="14">
        <v>95</v>
      </c>
      <c r="G12" t="s">
        <v>28</v>
      </c>
      <c r="H12" s="9">
        <f>E13 * H13 - 0.000838</f>
        <v>4.5881999999999999E-2</v>
      </c>
      <c r="V12" s="25"/>
      <c r="W12" s="25"/>
      <c r="X12" s="25"/>
      <c r="Y12" s="25"/>
      <c r="Z12" s="25"/>
      <c r="AA12" s="25"/>
      <c r="AB12" s="25"/>
      <c r="AC12" s="25"/>
      <c r="AD12" s="25"/>
      <c r="AE12" s="25"/>
    </row>
    <row r="13" spans="1:31" ht="12.75" customHeight="1" x14ac:dyDescent="0.2">
      <c r="A13" t="s">
        <v>29</v>
      </c>
      <c r="B13" s="8">
        <v>1</v>
      </c>
      <c r="D13" t="s">
        <v>30</v>
      </c>
      <c r="E13" s="8">
        <v>0.128</v>
      </c>
      <c r="G13" t="s">
        <v>31</v>
      </c>
      <c r="H13" s="9">
        <v>0.36499999999999999</v>
      </c>
      <c r="J13" t="s">
        <v>32</v>
      </c>
      <c r="V13" s="25"/>
      <c r="W13" s="25"/>
      <c r="X13" s="25"/>
      <c r="Y13" s="25"/>
      <c r="Z13" s="25"/>
      <c r="AA13" s="25"/>
      <c r="AB13" s="25"/>
      <c r="AC13" s="25"/>
      <c r="AD13" s="25"/>
      <c r="AE13" s="25"/>
    </row>
    <row r="14" spans="1:31" ht="12.75" customHeight="1" x14ac:dyDescent="0.2">
      <c r="A14" t="s">
        <v>33</v>
      </c>
      <c r="B14" s="8">
        <v>1</v>
      </c>
      <c r="D14" s="2" t="s">
        <v>34</v>
      </c>
      <c r="E14">
        <f>B3/2 + B4/2</f>
        <v>8.033339999999999</v>
      </c>
      <c r="G14" t="s">
        <v>35</v>
      </c>
      <c r="H14" s="9">
        <v>0</v>
      </c>
      <c r="J14">
        <f>(H13/(H13+H14))^2</f>
        <v>1</v>
      </c>
      <c r="V14" s="25"/>
      <c r="W14" s="25"/>
      <c r="X14" s="25"/>
      <c r="Y14" s="25"/>
      <c r="Z14" s="25"/>
      <c r="AA14" s="25"/>
      <c r="AB14" s="25"/>
      <c r="AC14" s="25"/>
      <c r="AD14" s="25"/>
      <c r="AE14" s="25"/>
    </row>
    <row r="15" spans="1:31" ht="12.75" customHeight="1" x14ac:dyDescent="0.2">
      <c r="A15" t="s">
        <v>36</v>
      </c>
      <c r="B15" s="8">
        <v>21</v>
      </c>
      <c r="D15" s="2" t="s">
        <v>37</v>
      </c>
      <c r="E15" s="5">
        <f>E14*2*3.14159</f>
        <v>50.474921221199992</v>
      </c>
      <c r="G15" t="s">
        <v>38</v>
      </c>
      <c r="H15" s="27">
        <v>5.25</v>
      </c>
      <c r="V15" s="25"/>
      <c r="W15" s="25"/>
      <c r="X15" s="25"/>
      <c r="Y15" s="25"/>
      <c r="Z15" s="25"/>
      <c r="AA15" s="25"/>
      <c r="AB15" s="25"/>
      <c r="AC15" s="25"/>
      <c r="AD15" s="25"/>
      <c r="AE15" s="25"/>
    </row>
    <row r="16" spans="1:31" ht="12.75" customHeight="1" x14ac:dyDescent="0.2">
      <c r="A16" t="s">
        <v>39</v>
      </c>
      <c r="B16" s="8">
        <v>1.4999999999999999E-2</v>
      </c>
      <c r="D16" s="3" t="s">
        <v>40</v>
      </c>
      <c r="E16">
        <f>E15*B5/12</f>
        <v>1589.9600184678</v>
      </c>
      <c r="F16" t="s">
        <v>41</v>
      </c>
      <c r="G16" t="s">
        <v>42</v>
      </c>
      <c r="H16" s="6">
        <f>IF(B14=1,B13*H12*E16*3.8762,B13*H12*E16*1.172)</f>
        <v>282.77090472812176</v>
      </c>
      <c r="V16" s="25"/>
      <c r="W16" s="25"/>
      <c r="X16" s="25"/>
      <c r="Y16" s="25"/>
      <c r="Z16" s="25"/>
      <c r="AA16" s="25"/>
      <c r="AB16" s="25"/>
      <c r="AC16" s="25"/>
      <c r="AD16" s="25"/>
      <c r="AE16" s="25"/>
    </row>
    <row r="17" spans="1:31" ht="12.75" customHeight="1" x14ac:dyDescent="0.2">
      <c r="A17" t="s">
        <v>43</v>
      </c>
      <c r="B17" s="8">
        <v>4</v>
      </c>
      <c r="D17" s="3" t="s">
        <v>44</v>
      </c>
      <c r="E17" s="14">
        <v>0.75</v>
      </c>
      <c r="G17" t="s">
        <v>45</v>
      </c>
      <c r="H17" s="26">
        <f>IF( B14=1, E16 / (B13 * H12) * 10^-5 * 0.81672 * ( (234.5 + 75) / 254.5 ), E16 / (B13 * H12) * 10^-5 * 1.3228 * ( (226 + 75) / 246 ) )</f>
        <v>0.34418340005406817</v>
      </c>
      <c r="I17" t="s">
        <v>46</v>
      </c>
      <c r="K17" s="53" t="s">
        <v>47</v>
      </c>
      <c r="L17" s="54"/>
      <c r="N17" s="26">
        <f>IF(B14=1,E16/(B13*H12)*10^-5*0.81672*((234.5+20)/254.5),E16/(B13*H12)*10^-5*1.3228*((226+20)/246))</f>
        <v>0.28301995254849871</v>
      </c>
      <c r="O17" t="s">
        <v>48</v>
      </c>
      <c r="V17" s="25"/>
      <c r="W17" s="25"/>
      <c r="X17" s="25"/>
      <c r="Y17" s="25"/>
      <c r="Z17" s="25"/>
      <c r="AA17" s="25"/>
      <c r="AB17" s="25"/>
      <c r="AC17" s="25"/>
      <c r="AD17" s="25"/>
      <c r="AE17" s="25"/>
    </row>
    <row r="18" spans="1:31" ht="12.75" customHeight="1" x14ac:dyDescent="0.2">
      <c r="A18" t="s">
        <v>49</v>
      </c>
      <c r="B18" s="8">
        <v>18</v>
      </c>
      <c r="D18" s="3" t="s">
        <v>50</v>
      </c>
      <c r="E18" s="8">
        <v>0.8</v>
      </c>
      <c r="G18" t="s">
        <v>51</v>
      </c>
      <c r="H18" s="6">
        <f>H17*((B12^2+(E12)^2)^0.5)^2+SUM(L5:L11)</f>
        <v>3106.2551854879653</v>
      </c>
      <c r="K18" s="10">
        <v>3</v>
      </c>
      <c r="L18" s="10">
        <v>1</v>
      </c>
      <c r="V18" s="25"/>
      <c r="W18" s="25"/>
      <c r="X18" s="25"/>
      <c r="Y18" s="25"/>
      <c r="Z18" s="25"/>
      <c r="AA18" s="25"/>
      <c r="AB18" s="25"/>
      <c r="AC18" s="25"/>
      <c r="AD18" s="25"/>
      <c r="AE18" s="25"/>
    </row>
    <row r="19" spans="1:31" x14ac:dyDescent="0.2">
      <c r="A19" t="s">
        <v>52</v>
      </c>
      <c r="B19">
        <f>(0.8*(E14)^2*B5^2)/(6*(E14)+9*C2+10*B4)</f>
        <v>43266.279255241796</v>
      </c>
      <c r="C19" t="s">
        <v>53</v>
      </c>
      <c r="G19" t="s">
        <v>54</v>
      </c>
      <c r="H19" s="6">
        <f>IF(B14=1,5.9*B15^2*E13^4*J14*H18+SUM(K5:K11),((5.9*B15^2*E13^4*J14*H18+SUM(K5:K11))/1.65))</f>
        <v>2169.5397457905697</v>
      </c>
      <c r="K19" s="10">
        <v>3.5</v>
      </c>
      <c r="L19" s="10">
        <v>1.5</v>
      </c>
    </row>
    <row r="20" spans="1:31" x14ac:dyDescent="0.2">
      <c r="A20" t="s">
        <v>55</v>
      </c>
      <c r="B20">
        <f>((0.2257*C2*6.28*E14*3.6/(B16*10^6))*(B15-B17-1)+(0.2257*C2*6.28*E14*1/((B16+E17)*10^6))*B17)/(B15-1)</f>
        <v>1.43828485263257E-2</v>
      </c>
      <c r="G20" t="s">
        <v>56</v>
      </c>
      <c r="H20" s="6">
        <f>H18+H19</f>
        <v>5275.7949312785349</v>
      </c>
      <c r="I20" s="6">
        <f>H18+H19</f>
        <v>5275.7949312785349</v>
      </c>
      <c r="K20" s="10">
        <v>5</v>
      </c>
      <c r="L20" s="10">
        <v>2.5625</v>
      </c>
    </row>
    <row r="21" spans="1:31" x14ac:dyDescent="0.2">
      <c r="A21" t="s">
        <v>57</v>
      </c>
      <c r="B21">
        <f>((0.2257*C2*6.28*E14*3.6/(B16*10^6))/(B15-B17)+(0.2257*C2*6.28*E14*1/((B16+E17)*10^6)))/B17</f>
        <v>2.8847840054841458E-4</v>
      </c>
      <c r="G21" t="s">
        <v>58</v>
      </c>
      <c r="H21" s="6">
        <f>((B4+B3/2)^2*3.14159-(B3/2)^2*3.14159)*2+E15*C2*(2+B17*2)*E18</f>
        <v>3290.629710145331</v>
      </c>
      <c r="I21" s="6">
        <f>((B4+B3/2)^2*3.14159-(B3/2)^2*3.14159)*2+E15*C2*(2)</f>
        <v>1300.908315605627</v>
      </c>
      <c r="K21" s="10">
        <v>5.625</v>
      </c>
      <c r="L21" s="10">
        <v>3.125</v>
      </c>
    </row>
    <row r="22" spans="1:31" x14ac:dyDescent="0.2">
      <c r="A22" t="s">
        <v>59</v>
      </c>
      <c r="B22">
        <f>(1/(B19*B21*10^-12))^0.5/(2*PI())*0.001</f>
        <v>45.04936839142966</v>
      </c>
      <c r="D22" s="11" t="s">
        <v>60</v>
      </c>
      <c r="G22" t="s">
        <v>61</v>
      </c>
      <c r="H22" s="26">
        <f>H20/H21</f>
        <v>1.6032782160243515</v>
      </c>
      <c r="I22" s="26">
        <f>I20/I21</f>
        <v>4.0554702187620597</v>
      </c>
      <c r="K22" s="10">
        <v>9.375</v>
      </c>
      <c r="L22" s="10">
        <v>4.625</v>
      </c>
    </row>
    <row r="23" spans="1:31" x14ac:dyDescent="0.2">
      <c r="A23" t="s">
        <v>62</v>
      </c>
      <c r="C23">
        <f>( (H17^2) + ( B19*10^-6 * 2 * PI() * 60 )^2 )^0.5</f>
        <v>16.314633961563256</v>
      </c>
      <c r="D23" s="11">
        <v>16</v>
      </c>
      <c r="G23" t="s">
        <v>63</v>
      </c>
      <c r="H23" s="12">
        <f>75*H22^0.8</f>
        <v>109.41286160942401</v>
      </c>
      <c r="I23">
        <f>75*I22^0.8</f>
        <v>229.87632028562064</v>
      </c>
      <c r="O23" s="5" t="s">
        <v>64</v>
      </c>
      <c r="P23">
        <f>$E$15</f>
        <v>50.474921221199992</v>
      </c>
      <c r="S23" s="5" t="s">
        <v>64</v>
      </c>
      <c r="T23">
        <f>$E$15</f>
        <v>50.474921221199992</v>
      </c>
    </row>
    <row r="24" spans="1:31" x14ac:dyDescent="0.2">
      <c r="A24" t="s">
        <v>65</v>
      </c>
      <c r="C24" s="9">
        <v>95</v>
      </c>
      <c r="G24" t="s">
        <v>66</v>
      </c>
      <c r="H24" s="12">
        <f>(B12^2+(E12+SUM(H5:H11))^2)^0.5/(B13*H12)</f>
        <v>2070.5287476570334</v>
      </c>
      <c r="O24" s="5" t="s">
        <v>67</v>
      </c>
      <c r="P24">
        <v>1</v>
      </c>
      <c r="S24" s="5" t="s">
        <v>68</v>
      </c>
      <c r="T24">
        <v>2.5</v>
      </c>
    </row>
    <row r="25" spans="1:31" x14ac:dyDescent="0.2">
      <c r="A25" t="s">
        <v>69</v>
      </c>
      <c r="C25">
        <f>C23 * C24</f>
        <v>1549.8902263485093</v>
      </c>
      <c r="O25" s="5" t="s">
        <v>70</v>
      </c>
      <c r="P25">
        <f>$B$2</f>
        <v>17.4375</v>
      </c>
      <c r="S25" s="5" t="s">
        <v>71</v>
      </c>
      <c r="T25">
        <f>FLOOR( T23 / T24, 1 )</f>
        <v>20</v>
      </c>
    </row>
    <row r="26" spans="1:31" x14ac:dyDescent="0.2">
      <c r="A26" t="s">
        <v>72</v>
      </c>
      <c r="O26" s="5" t="s">
        <v>73</v>
      </c>
      <c r="P26">
        <v>1</v>
      </c>
      <c r="S26" s="5" t="s">
        <v>74</v>
      </c>
      <c r="T26">
        <f>$B$17</f>
        <v>4</v>
      </c>
    </row>
    <row r="27" spans="1:31" x14ac:dyDescent="0.2">
      <c r="A27" t="s">
        <v>75</v>
      </c>
      <c r="O27" s="5" t="s">
        <v>76</v>
      </c>
      <c r="P27">
        <v>1.05</v>
      </c>
      <c r="S27" s="5" t="s">
        <v>77</v>
      </c>
      <c r="T27" s="12">
        <f>T25 * T26</f>
        <v>80</v>
      </c>
    </row>
    <row r="28" spans="1:31" x14ac:dyDescent="0.2">
      <c r="G28" s="10" t="s">
        <v>78</v>
      </c>
      <c r="H28" s="10">
        <f>IF(B14=1,  E16/(B13*H12)*10^-5*0.81672*((234.5+20)/254.5),   E16/(B13*H12)*10^-5*1.3228*((226+20)/246)   )</f>
        <v>0.28301995254849871</v>
      </c>
      <c r="O28" s="5" t="s">
        <v>79</v>
      </c>
      <c r="P28" s="12">
        <f>( P23 + P24 ) * P25 * P26 * P27</f>
        <v>942.47363573440862</v>
      </c>
    </row>
    <row r="29" spans="1:31" x14ac:dyDescent="0.2">
      <c r="A29" t="s">
        <v>80</v>
      </c>
      <c r="B29" t="s">
        <v>113</v>
      </c>
      <c r="G29" s="10" t="s">
        <v>82</v>
      </c>
      <c r="H29" s="10">
        <f>D23 / ( 2 * PI() * 60 ) * 1000</f>
        <v>42.441318157838765</v>
      </c>
    </row>
    <row r="30" spans="1:31" x14ac:dyDescent="0.2">
      <c r="A30" t="s">
        <v>83</v>
      </c>
      <c r="G30" s="10" t="s">
        <v>84</v>
      </c>
      <c r="H30" s="10">
        <f>H29*0.9</f>
        <v>38.197186342054891</v>
      </c>
    </row>
    <row r="31" spans="1:31" x14ac:dyDescent="0.2">
      <c r="A31" t="s">
        <v>85</v>
      </c>
      <c r="B31" s="13">
        <v>240</v>
      </c>
      <c r="D31" t="s">
        <v>86</v>
      </c>
      <c r="E31" s="6">
        <f>H20*(B31/(E12+B12))^2</f>
        <v>33671.555461677963</v>
      </c>
      <c r="G31" s="10" t="s">
        <v>87</v>
      </c>
      <c r="H31" s="12">
        <f>B31/(B13*H12)</f>
        <v>5230.809467765137</v>
      </c>
    </row>
    <row r="32" spans="1:31" x14ac:dyDescent="0.2">
      <c r="A32" t="s">
        <v>88</v>
      </c>
      <c r="B32" s="13">
        <v>5</v>
      </c>
      <c r="D32" t="s">
        <v>89</v>
      </c>
      <c r="E32" s="26">
        <f>E31/H21</f>
        <v>10.232556813629101</v>
      </c>
      <c r="O32" s="5" t="s">
        <v>90</v>
      </c>
      <c r="P32">
        <f>$B$6</f>
        <v>22.38336</v>
      </c>
      <c r="S32" s="5" t="s">
        <v>64</v>
      </c>
      <c r="T32">
        <f>$E$15</f>
        <v>50.474921221199992</v>
      </c>
    </row>
    <row r="33" spans="1:20" x14ac:dyDescent="0.2">
      <c r="A33" t="s">
        <v>91</v>
      </c>
      <c r="B33" s="6">
        <f>E32^0.8 * 75 * B32 / 3600 + H23</f>
        <v>110.08230845369651</v>
      </c>
      <c r="O33" s="5" t="s">
        <v>67</v>
      </c>
      <c r="P33">
        <v>1</v>
      </c>
      <c r="S33" s="5" t="s">
        <v>92</v>
      </c>
      <c r="T33">
        <f>$H$15</f>
        <v>5.25</v>
      </c>
    </row>
    <row r="34" spans="1:20" ht="13.5" customHeight="1" thickBot="1" x14ac:dyDescent="0.25">
      <c r="A34" t="s">
        <v>93</v>
      </c>
      <c r="B34" s="6">
        <f>E31 * B32 / (H16 * 453.592 * IF(B14=1, 0.385, 0.897)) + H23</f>
        <v>112.82221756466971</v>
      </c>
      <c r="O34" s="5" t="s">
        <v>70</v>
      </c>
      <c r="P34">
        <f>$B$2</f>
        <v>17.4375</v>
      </c>
      <c r="S34" s="5" t="s">
        <v>94</v>
      </c>
      <c r="T34">
        <f>$B$15</f>
        <v>21</v>
      </c>
    </row>
    <row r="35" spans="1:20" x14ac:dyDescent="0.2">
      <c r="B35" s="41" t="s">
        <v>95</v>
      </c>
      <c r="C35" s="42"/>
      <c r="D35" s="42"/>
      <c r="E35" s="42"/>
      <c r="F35" s="42"/>
      <c r="G35" s="42"/>
      <c r="H35" s="43"/>
      <c r="O35" s="5" t="s">
        <v>96</v>
      </c>
      <c r="P35">
        <v>1</v>
      </c>
      <c r="S35" s="5" t="s">
        <v>97</v>
      </c>
      <c r="T35">
        <v>2</v>
      </c>
    </row>
    <row r="36" spans="1:20" x14ac:dyDescent="0.2">
      <c r="B36" s="15"/>
      <c r="H36" s="16"/>
      <c r="O36" s="5" t="s">
        <v>76</v>
      </c>
      <c r="P36">
        <v>1.05</v>
      </c>
      <c r="S36" s="5" t="s">
        <v>76</v>
      </c>
      <c r="T36">
        <v>1.05</v>
      </c>
    </row>
    <row r="37" spans="1:20" x14ac:dyDescent="0.2">
      <c r="B37" s="17">
        <v>1.1499999999999999</v>
      </c>
      <c r="C37" s="24">
        <v>150</v>
      </c>
      <c r="D37" s="18">
        <f>B15</f>
        <v>21</v>
      </c>
      <c r="E37" s="19">
        <v>1.33</v>
      </c>
      <c r="F37" s="20">
        <f>( ( B37* C37 ) / B15 )^ 1.33</f>
        <v>16.458029643374918</v>
      </c>
      <c r="G37" t="s">
        <v>98</v>
      </c>
      <c r="H37" s="16"/>
      <c r="O37" s="5" t="s">
        <v>99</v>
      </c>
      <c r="P37" s="12">
        <f>( ( P32 * PI() ) + P33 ) * P34 * P35 * P36</f>
        <v>1305.813627266198</v>
      </c>
      <c r="S37" s="5" t="s">
        <v>100</v>
      </c>
      <c r="T37" s="12">
        <f>T32 * T33 * 2 * T34 * T35 * T36</f>
        <v>23372.412271476656</v>
      </c>
    </row>
    <row r="38" spans="1:20" ht="13.5" customHeight="1" thickBot="1" x14ac:dyDescent="0.25">
      <c r="B38" s="21"/>
      <c r="C38" s="22"/>
      <c r="D38" s="22"/>
      <c r="E38" s="22"/>
      <c r="F38" s="22"/>
      <c r="G38" s="22"/>
      <c r="H38" s="23"/>
    </row>
    <row r="40" spans="1:20" x14ac:dyDescent="0.2">
      <c r="B40" s="44" t="s">
        <v>115</v>
      </c>
      <c r="C40" s="45"/>
      <c r="D40" s="45"/>
      <c r="E40" s="45"/>
      <c r="F40" s="45"/>
      <c r="G40" s="45"/>
      <c r="H40" s="46"/>
      <c r="S40" s="5"/>
    </row>
    <row r="41" spans="1:20" x14ac:dyDescent="0.2">
      <c r="B41" s="47"/>
      <c r="C41" s="48"/>
      <c r="D41" s="48"/>
      <c r="E41" s="48"/>
      <c r="F41" s="48"/>
      <c r="G41" s="48"/>
      <c r="H41" s="49"/>
      <c r="O41" s="5" t="s">
        <v>102</v>
      </c>
      <c r="P41">
        <v>9.25</v>
      </c>
      <c r="S41" s="5" t="s">
        <v>103</v>
      </c>
      <c r="T41">
        <v>5</v>
      </c>
    </row>
    <row r="42" spans="1:20" x14ac:dyDescent="0.2">
      <c r="B42" s="47"/>
      <c r="C42" s="48"/>
      <c r="D42" s="48"/>
      <c r="E42" s="48"/>
      <c r="F42" s="48"/>
      <c r="G42" s="48"/>
      <c r="H42" s="49"/>
      <c r="O42" s="5" t="s">
        <v>104</v>
      </c>
      <c r="P42">
        <f>$B$3</f>
        <v>9.75</v>
      </c>
      <c r="S42" s="5" t="s">
        <v>105</v>
      </c>
      <c r="T42">
        <f>$B$2</f>
        <v>17.4375</v>
      </c>
    </row>
    <row r="43" spans="1:20" x14ac:dyDescent="0.2">
      <c r="B43" s="47"/>
      <c r="C43" s="48"/>
      <c r="D43" s="48"/>
      <c r="E43" s="48"/>
      <c r="F43" s="48"/>
      <c r="G43" s="48"/>
      <c r="H43" s="49"/>
      <c r="O43" s="5" t="s">
        <v>106</v>
      </c>
      <c r="P43">
        <f>(P41 + P42 ) / 2 * PI()</f>
        <v>29.845130209103033</v>
      </c>
      <c r="S43" s="5" t="s">
        <v>107</v>
      </c>
      <c r="T43">
        <v>0</v>
      </c>
    </row>
    <row r="44" spans="1:20" x14ac:dyDescent="0.2">
      <c r="B44" s="47"/>
      <c r="C44" s="48"/>
      <c r="D44" s="48"/>
      <c r="E44" s="48"/>
      <c r="F44" s="48"/>
      <c r="G44" s="48"/>
      <c r="H44" s="49"/>
      <c r="O44" s="5" t="s">
        <v>108</v>
      </c>
      <c r="P44">
        <f>ROUND( (P42-P41) / 2 * 32,0)</f>
        <v>8</v>
      </c>
      <c r="S44" s="5" t="s">
        <v>97</v>
      </c>
      <c r="T44">
        <v>4</v>
      </c>
    </row>
    <row r="45" spans="1:20" x14ac:dyDescent="0.2">
      <c r="B45" s="50"/>
      <c r="C45" s="51"/>
      <c r="D45" s="51"/>
      <c r="E45" s="51"/>
      <c r="F45" s="51"/>
      <c r="G45" s="51"/>
      <c r="H45" s="52"/>
      <c r="O45" s="5" t="s">
        <v>109</v>
      </c>
      <c r="P45">
        <v>3.5</v>
      </c>
      <c r="S45" s="5" t="s">
        <v>76</v>
      </c>
      <c r="T45">
        <v>1.05</v>
      </c>
    </row>
    <row r="46" spans="1:20" x14ac:dyDescent="0.2">
      <c r="O46" s="5" t="s">
        <v>105</v>
      </c>
      <c r="P46">
        <f>$B$2</f>
        <v>17.4375</v>
      </c>
      <c r="S46" s="5" t="s">
        <v>110</v>
      </c>
      <c r="T46" s="12">
        <f>(T42 + T43 ) * T41 * T44 * T45</f>
        <v>366.1875</v>
      </c>
    </row>
    <row r="47" spans="1:20" x14ac:dyDescent="0.2">
      <c r="O47" s="5" t="s">
        <v>111</v>
      </c>
      <c r="P47">
        <v>3</v>
      </c>
    </row>
    <row r="48" spans="1:20" x14ac:dyDescent="0.2">
      <c r="O48" s="5" t="s">
        <v>76</v>
      </c>
      <c r="P48">
        <v>1.05</v>
      </c>
    </row>
    <row r="49" spans="15:16" x14ac:dyDescent="0.2">
      <c r="O49" s="5" t="s">
        <v>112</v>
      </c>
      <c r="P49" s="12">
        <f>P44 * ( P43 * (P45 + P46 + P47 ) ) * P48</f>
        <v>6001.1095567953926</v>
      </c>
    </row>
  </sheetData>
  <mergeCells count="3">
    <mergeCell ref="B35:H35"/>
    <mergeCell ref="B40:H45"/>
    <mergeCell ref="K17:L17"/>
  </mergeCells>
  <dataValidations count="3">
    <dataValidation type="list" allowBlank="1" sqref="B3" xr:uid="{00000000-0002-0000-0200-000000000000}">
      <formula1>"9.375,5.625,5,3.5,3"</formula1>
    </dataValidation>
    <dataValidation type="list" allowBlank="1" sqref="E13" xr:uid="{00000000-0002-0000-0200-000001000000}">
      <formula1>".064,.072,.081,.091,.102,.114,.128,.144,.162,.182,.204"</formula1>
    </dataValidation>
    <dataValidation type="list" allowBlank="1" sqref="H13" xr:uid="{00000000-0002-0000-0200-000002000000}">
      <formula1>".162,.182,.204,.258,.289,.325,.365,.410,.460"</formula1>
    </dataValidation>
  </dataValidations>
  <pageMargins left="0.75" right="0.75" top="1" bottom="1" header="0.5" footer="0.5"/>
  <pageSetup scale="67" firstPageNumber="0" orientation="landscape" horizontalDpi="300" verticalDpi="300"/>
  <headerFooter alignWithMargins="0">
    <oddHeader>&amp;C&amp;F</oddHeader>
    <oddFooter>&amp;CPage &amp;P</oddFooter>
  </headerFooter>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49"/>
  <sheetViews>
    <sheetView zoomScale="90" zoomScaleNormal="90" workbookViewId="0">
      <pane ySplit="2" topLeftCell="A3" activePane="bottomLeft" state="frozen"/>
      <selection pane="bottomLeft" activeCell="C7" sqref="C7"/>
    </sheetView>
  </sheetViews>
  <sheetFormatPr defaultRowHeight="12.75" x14ac:dyDescent="0.2"/>
  <cols>
    <col min="3" max="3" width="17" customWidth="1"/>
    <col min="4" max="13" width="9.140625" customWidth="1"/>
    <col min="14" max="14" width="12.7109375" customWidth="1"/>
    <col min="15" max="15" width="9.140625" customWidth="1"/>
    <col min="16" max="16" width="10.28515625" customWidth="1"/>
    <col min="17" max="17" width="10.5703125" customWidth="1"/>
    <col min="18" max="19" width="9.140625" customWidth="1"/>
    <col min="20" max="20" width="11.7109375" bestFit="1" customWidth="1"/>
  </cols>
  <sheetData>
    <row r="1" spans="1:21" ht="33" customHeight="1" x14ac:dyDescent="0.2">
      <c r="C1" s="28" t="s">
        <v>116</v>
      </c>
      <c r="D1" s="28" t="s">
        <v>117</v>
      </c>
      <c r="E1" s="28" t="s">
        <v>118</v>
      </c>
      <c r="F1" s="28" t="s">
        <v>119</v>
      </c>
      <c r="G1" s="28" t="s">
        <v>120</v>
      </c>
      <c r="H1" s="28" t="s">
        <v>121</v>
      </c>
      <c r="I1" s="28" t="s">
        <v>38</v>
      </c>
      <c r="J1" s="28" t="s">
        <v>122</v>
      </c>
      <c r="K1" s="28" t="s">
        <v>123</v>
      </c>
      <c r="L1" s="28" t="s">
        <v>124</v>
      </c>
      <c r="M1" s="28" t="s">
        <v>125</v>
      </c>
      <c r="N1" s="28" t="s">
        <v>126</v>
      </c>
      <c r="O1" s="28" t="s">
        <v>127</v>
      </c>
      <c r="P1" s="28" t="s">
        <v>128</v>
      </c>
      <c r="Q1" s="28" t="s">
        <v>129</v>
      </c>
      <c r="R1" s="28" t="s">
        <v>130</v>
      </c>
      <c r="S1" s="28" t="s">
        <v>131</v>
      </c>
      <c r="T1" s="28" t="s">
        <v>132</v>
      </c>
      <c r="U1" s="28" t="s">
        <v>133</v>
      </c>
    </row>
    <row r="2" spans="1:21" ht="13.5" customHeight="1" thickBot="1" x14ac:dyDescent="0.25">
      <c r="A2" s="29"/>
      <c r="B2" s="29"/>
      <c r="C2" s="29"/>
      <c r="D2" s="29"/>
      <c r="E2" s="29"/>
      <c r="F2" s="29"/>
      <c r="G2" s="29"/>
      <c r="H2" s="29"/>
      <c r="I2" s="29"/>
      <c r="J2" s="29"/>
      <c r="K2" s="29"/>
      <c r="L2" s="29"/>
      <c r="M2" s="29"/>
      <c r="N2" s="29"/>
      <c r="O2" s="29"/>
      <c r="P2" s="29"/>
      <c r="Q2" s="29"/>
      <c r="R2" s="29"/>
      <c r="S2" s="29"/>
      <c r="T2" s="29"/>
      <c r="U2" s="29"/>
    </row>
    <row r="3" spans="1:21" ht="13.5" customHeight="1" thickTop="1" x14ac:dyDescent="0.2">
      <c r="U3" s="26"/>
    </row>
    <row r="4" spans="1:21" x14ac:dyDescent="0.2">
      <c r="U4" s="26"/>
    </row>
    <row r="5" spans="1:21" x14ac:dyDescent="0.2">
      <c r="C5" s="28"/>
      <c r="D5" s="28"/>
      <c r="E5" s="28"/>
      <c r="F5" s="28"/>
      <c r="G5" s="28"/>
      <c r="H5" s="28"/>
      <c r="I5" s="28"/>
      <c r="J5" s="28"/>
      <c r="K5" s="28"/>
      <c r="L5" s="28"/>
      <c r="M5" s="28"/>
      <c r="N5" s="28"/>
      <c r="P5" s="28"/>
      <c r="Q5" s="28"/>
      <c r="U5" s="26"/>
    </row>
    <row r="6" spans="1:21" ht="15.95" customHeight="1" x14ac:dyDescent="0.2">
      <c r="C6" s="2"/>
      <c r="K6" s="6"/>
      <c r="L6" s="30"/>
      <c r="M6" s="6"/>
      <c r="U6" s="26"/>
    </row>
    <row r="7" spans="1:21" ht="15.95" customHeight="1" x14ac:dyDescent="0.2">
      <c r="C7" s="2"/>
      <c r="K7" s="6"/>
      <c r="L7" s="30"/>
      <c r="M7" s="6"/>
      <c r="U7" s="26"/>
    </row>
    <row r="8" spans="1:21" ht="15.95" customHeight="1" x14ac:dyDescent="0.2">
      <c r="C8" s="2" t="s">
        <v>134</v>
      </c>
      <c r="D8">
        <v>3.5</v>
      </c>
      <c r="E8">
        <v>3.875</v>
      </c>
      <c r="F8">
        <v>13.875</v>
      </c>
      <c r="G8">
        <v>13.875</v>
      </c>
      <c r="H8">
        <v>3.375</v>
      </c>
      <c r="I8">
        <v>5.25</v>
      </c>
      <c r="J8">
        <v>151.125</v>
      </c>
      <c r="K8" s="6">
        <v>3500</v>
      </c>
      <c r="L8" s="30">
        <v>1.32</v>
      </c>
      <c r="M8" s="6">
        <v>70</v>
      </c>
      <c r="N8">
        <v>15000</v>
      </c>
      <c r="O8">
        <v>95</v>
      </c>
      <c r="P8">
        <v>90</v>
      </c>
      <c r="Q8">
        <v>978</v>
      </c>
      <c r="R8">
        <v>10</v>
      </c>
      <c r="S8" t="s">
        <v>135</v>
      </c>
      <c r="T8">
        <v>1.1041000000000001</v>
      </c>
      <c r="U8" s="26"/>
    </row>
    <row r="9" spans="1:21" ht="15.95" customHeight="1" x14ac:dyDescent="0.2">
      <c r="C9" s="2" t="s">
        <v>136</v>
      </c>
      <c r="D9">
        <v>9.25</v>
      </c>
      <c r="E9">
        <v>9.75</v>
      </c>
      <c r="F9">
        <v>25.625</v>
      </c>
      <c r="G9">
        <v>25.125</v>
      </c>
      <c r="H9">
        <v>14.875</v>
      </c>
      <c r="I9">
        <v>5.125</v>
      </c>
      <c r="J9">
        <v>563.5</v>
      </c>
      <c r="K9" s="6"/>
      <c r="L9" s="33">
        <v>29</v>
      </c>
      <c r="M9" s="6">
        <v>1044</v>
      </c>
      <c r="N9">
        <v>12470</v>
      </c>
      <c r="O9">
        <v>95</v>
      </c>
      <c r="P9">
        <v>130</v>
      </c>
      <c r="Q9">
        <v>2250</v>
      </c>
      <c r="R9">
        <v>10</v>
      </c>
      <c r="S9" t="s">
        <v>137</v>
      </c>
      <c r="T9">
        <v>1.2365999999999999</v>
      </c>
      <c r="U9" s="26"/>
    </row>
    <row r="10" spans="1:21" ht="15.95" customHeight="1" x14ac:dyDescent="0.2">
      <c r="C10" s="2" t="s">
        <v>138</v>
      </c>
      <c r="D10">
        <v>9.25</v>
      </c>
      <c r="E10">
        <v>9.75</v>
      </c>
      <c r="F10">
        <v>27.5</v>
      </c>
      <c r="G10">
        <v>46</v>
      </c>
      <c r="H10">
        <v>27</v>
      </c>
      <c r="I10">
        <v>9.5</v>
      </c>
      <c r="J10">
        <v>48</v>
      </c>
      <c r="K10" s="6">
        <v>400</v>
      </c>
      <c r="L10" s="30"/>
      <c r="M10" s="6">
        <v>778</v>
      </c>
      <c r="N10">
        <v>34500</v>
      </c>
      <c r="O10">
        <v>150</v>
      </c>
      <c r="P10">
        <v>1250</v>
      </c>
      <c r="Q10">
        <v>30000</v>
      </c>
      <c r="R10">
        <v>3</v>
      </c>
      <c r="S10" t="s">
        <v>135</v>
      </c>
      <c r="T10">
        <v>0.25790000000000002</v>
      </c>
      <c r="U10" s="26"/>
    </row>
    <row r="11" spans="1:21" ht="15.95" customHeight="1" x14ac:dyDescent="0.2">
      <c r="C11" s="2" t="s">
        <v>139</v>
      </c>
      <c r="D11">
        <v>3.5</v>
      </c>
      <c r="E11">
        <v>3.875</v>
      </c>
      <c r="F11">
        <v>11.625</v>
      </c>
      <c r="G11">
        <v>16.1875</v>
      </c>
      <c r="H11">
        <v>5.625</v>
      </c>
      <c r="I11">
        <v>5.25</v>
      </c>
      <c r="J11">
        <v>160</v>
      </c>
      <c r="K11" s="6">
        <v>2810</v>
      </c>
      <c r="L11" s="30">
        <v>1.06</v>
      </c>
      <c r="M11" s="6"/>
      <c r="N11">
        <v>15000</v>
      </c>
      <c r="O11">
        <v>95</v>
      </c>
      <c r="P11">
        <v>81</v>
      </c>
      <c r="Q11">
        <v>1337</v>
      </c>
      <c r="R11">
        <v>10</v>
      </c>
      <c r="S11" t="s">
        <v>135</v>
      </c>
      <c r="T11" t="s">
        <v>140</v>
      </c>
      <c r="U11" s="26"/>
    </row>
    <row r="12" spans="1:21" ht="15.95" customHeight="1" x14ac:dyDescent="0.2">
      <c r="C12" s="2" t="s">
        <v>141</v>
      </c>
      <c r="D12">
        <v>9.25</v>
      </c>
      <c r="E12">
        <v>9.75</v>
      </c>
      <c r="F12">
        <v>15</v>
      </c>
      <c r="G12">
        <v>16.375</v>
      </c>
      <c r="H12">
        <v>5.875</v>
      </c>
      <c r="I12">
        <v>5.25</v>
      </c>
      <c r="J12">
        <v>287</v>
      </c>
      <c r="K12" s="6">
        <v>22520</v>
      </c>
      <c r="L12" s="30">
        <v>8.5</v>
      </c>
      <c r="M12" s="6">
        <v>103.1</v>
      </c>
      <c r="N12">
        <v>15000</v>
      </c>
      <c r="O12">
        <v>95</v>
      </c>
      <c r="Q12">
        <v>456</v>
      </c>
      <c r="R12">
        <v>10</v>
      </c>
      <c r="S12" t="s">
        <v>137</v>
      </c>
      <c r="T12">
        <v>0.67230000000000001</v>
      </c>
      <c r="U12" s="26"/>
    </row>
    <row r="13" spans="1:21" ht="15.95" customHeight="1" x14ac:dyDescent="0.2">
      <c r="C13" s="2" t="s">
        <v>142</v>
      </c>
      <c r="D13">
        <v>8</v>
      </c>
      <c r="E13">
        <v>8.25</v>
      </c>
      <c r="F13">
        <v>12.375</v>
      </c>
      <c r="G13">
        <v>44.375</v>
      </c>
      <c r="H13">
        <v>41.125</v>
      </c>
      <c r="I13">
        <v>1.625</v>
      </c>
      <c r="J13">
        <v>128</v>
      </c>
      <c r="K13" s="6"/>
      <c r="L13" s="30">
        <v>0.09</v>
      </c>
      <c r="M13" s="6">
        <v>690</v>
      </c>
      <c r="N13">
        <v>4160</v>
      </c>
      <c r="O13">
        <v>45</v>
      </c>
      <c r="P13">
        <v>269</v>
      </c>
      <c r="Q13">
        <v>4780</v>
      </c>
      <c r="R13">
        <v>10</v>
      </c>
      <c r="S13" t="s">
        <v>135</v>
      </c>
      <c r="T13">
        <v>0.39850000000000002</v>
      </c>
      <c r="U13" s="26"/>
    </row>
    <row r="14" spans="1:21" ht="15.95" customHeight="1" x14ac:dyDescent="0.2">
      <c r="C14" s="2" t="s">
        <v>143</v>
      </c>
      <c r="D14">
        <v>4.625</v>
      </c>
      <c r="E14">
        <v>5.125</v>
      </c>
      <c r="F14">
        <v>10.5</v>
      </c>
      <c r="G14">
        <v>22.375</v>
      </c>
      <c r="H14">
        <v>16.875</v>
      </c>
      <c r="I14">
        <v>2.75</v>
      </c>
      <c r="J14">
        <v>92</v>
      </c>
      <c r="K14" s="6"/>
      <c r="L14" s="30">
        <v>0.21</v>
      </c>
      <c r="M14" s="6">
        <v>188</v>
      </c>
      <c r="N14">
        <v>4160</v>
      </c>
      <c r="O14">
        <v>60</v>
      </c>
      <c r="P14">
        <v>250</v>
      </c>
      <c r="Q14">
        <v>6000</v>
      </c>
      <c r="R14">
        <v>10</v>
      </c>
      <c r="S14" t="s">
        <v>135</v>
      </c>
      <c r="T14">
        <v>0.31159999999999999</v>
      </c>
      <c r="U14" s="26"/>
    </row>
    <row r="15" spans="1:21" ht="15.95" customHeight="1" x14ac:dyDescent="0.2">
      <c r="C15" s="2" t="s">
        <v>144</v>
      </c>
      <c r="D15">
        <v>5.5</v>
      </c>
      <c r="E15">
        <v>5.875</v>
      </c>
      <c r="F15">
        <v>11.25</v>
      </c>
      <c r="G15">
        <v>15.125</v>
      </c>
      <c r="H15">
        <v>11.125</v>
      </c>
      <c r="I15">
        <v>2</v>
      </c>
      <c r="J15">
        <v>48</v>
      </c>
      <c r="K15" s="6"/>
      <c r="L15" s="30">
        <v>0.09</v>
      </c>
      <c r="M15" s="6">
        <v>145</v>
      </c>
      <c r="N15">
        <v>4160</v>
      </c>
      <c r="O15">
        <v>45</v>
      </c>
      <c r="P15">
        <v>269</v>
      </c>
      <c r="Q15">
        <v>4780</v>
      </c>
      <c r="R15">
        <v>10</v>
      </c>
      <c r="S15" t="s">
        <v>137</v>
      </c>
      <c r="T15">
        <v>0.17100000000000001</v>
      </c>
      <c r="U15" s="26"/>
    </row>
    <row r="16" spans="1:21" ht="15.95" customHeight="1" x14ac:dyDescent="0.2">
      <c r="C16" s="2" t="s">
        <v>145</v>
      </c>
      <c r="D16">
        <v>3.5</v>
      </c>
      <c r="E16">
        <v>3.875</v>
      </c>
      <c r="F16">
        <v>11.625</v>
      </c>
      <c r="G16">
        <v>16.1875</v>
      </c>
      <c r="H16">
        <v>5.625</v>
      </c>
      <c r="I16">
        <v>5.25</v>
      </c>
      <c r="J16">
        <v>160</v>
      </c>
      <c r="K16" s="6">
        <v>2828.545718929865</v>
      </c>
      <c r="L16" s="30">
        <v>1.067821013284191</v>
      </c>
      <c r="M16" s="6">
        <v>72</v>
      </c>
      <c r="N16" s="2">
        <v>15000</v>
      </c>
      <c r="O16" s="2">
        <v>95</v>
      </c>
      <c r="P16">
        <v>81</v>
      </c>
      <c r="Q16">
        <v>1337</v>
      </c>
      <c r="R16">
        <v>5</v>
      </c>
      <c r="S16" t="s">
        <v>135</v>
      </c>
      <c r="T16">
        <v>0.46839999999999998</v>
      </c>
      <c r="U16" s="26">
        <f t="shared" ref="U16:U45" si="0">K16*2*PI()*60/1000/1000</f>
        <v>1.0663366141119508</v>
      </c>
    </row>
    <row r="17" spans="3:21" ht="15.95" customHeight="1" x14ac:dyDescent="0.2">
      <c r="C17" s="2" t="s">
        <v>146</v>
      </c>
      <c r="D17">
        <v>9.25</v>
      </c>
      <c r="E17">
        <v>9.75</v>
      </c>
      <c r="F17">
        <v>20.017060000000001</v>
      </c>
      <c r="G17">
        <v>20.9375</v>
      </c>
      <c r="H17">
        <v>9.75</v>
      </c>
      <c r="I17">
        <v>5.25</v>
      </c>
      <c r="J17">
        <v>330</v>
      </c>
      <c r="K17" s="6">
        <v>26258.854235731531</v>
      </c>
      <c r="L17" s="30">
        <v>9.9009253057709117</v>
      </c>
      <c r="M17" s="6">
        <v>360.97475595528391</v>
      </c>
      <c r="N17" s="2">
        <v>15000</v>
      </c>
      <c r="O17" s="2">
        <v>150</v>
      </c>
      <c r="P17">
        <v>140</v>
      </c>
      <c r="Q17">
        <v>380</v>
      </c>
      <c r="R17">
        <v>5</v>
      </c>
      <c r="S17" t="s">
        <v>137</v>
      </c>
      <c r="T17">
        <v>1.2413000000000001</v>
      </c>
      <c r="U17" s="26">
        <f t="shared" si="0"/>
        <v>9.8993548270391276</v>
      </c>
    </row>
    <row r="18" spans="3:21" ht="15.95" customHeight="1" x14ac:dyDescent="0.2">
      <c r="C18" s="2" t="s">
        <v>147</v>
      </c>
      <c r="D18">
        <v>9.25</v>
      </c>
      <c r="E18">
        <v>9.75</v>
      </c>
      <c r="F18">
        <v>22.38336</v>
      </c>
      <c r="G18">
        <v>17.4375</v>
      </c>
      <c r="H18">
        <v>6.57</v>
      </c>
      <c r="I18">
        <v>5.25</v>
      </c>
      <c r="J18">
        <v>378</v>
      </c>
      <c r="K18" s="6">
        <v>43266.279255241803</v>
      </c>
      <c r="L18" s="30">
        <v>16.31463396156326</v>
      </c>
      <c r="M18" s="6">
        <v>282.77090472812182</v>
      </c>
      <c r="N18" s="2">
        <v>15000</v>
      </c>
      <c r="O18" s="2">
        <v>150</v>
      </c>
      <c r="P18">
        <v>95</v>
      </c>
      <c r="Q18">
        <v>250</v>
      </c>
      <c r="R18">
        <v>5</v>
      </c>
      <c r="S18" t="s">
        <v>137</v>
      </c>
      <c r="T18" t="s">
        <v>148</v>
      </c>
      <c r="U18" s="26">
        <f t="shared" si="0"/>
        <v>16.311003006771855</v>
      </c>
    </row>
    <row r="19" spans="3:21" ht="15.95" customHeight="1" x14ac:dyDescent="0.2">
      <c r="C19" s="2" t="s">
        <v>149</v>
      </c>
      <c r="D19">
        <v>3</v>
      </c>
      <c r="E19">
        <v>3.5</v>
      </c>
      <c r="F19">
        <v>6.8441799999999997</v>
      </c>
      <c r="G19">
        <v>16.125</v>
      </c>
      <c r="H19">
        <v>5.0579999999999998</v>
      </c>
      <c r="I19">
        <v>5.25</v>
      </c>
      <c r="J19">
        <v>60</v>
      </c>
      <c r="K19" s="6">
        <v>247.69259724649839</v>
      </c>
      <c r="L19" s="30">
        <v>9.3885517465549517E-2</v>
      </c>
      <c r="M19" s="6">
        <v>26.063492057796619</v>
      </c>
      <c r="N19" s="2">
        <v>15000</v>
      </c>
      <c r="O19" s="2">
        <v>95</v>
      </c>
      <c r="P19">
        <v>88</v>
      </c>
      <c r="Q19">
        <v>1838</v>
      </c>
      <c r="R19">
        <v>10</v>
      </c>
      <c r="S19" t="s">
        <v>137</v>
      </c>
      <c r="T19">
        <v>0.27879999999999999</v>
      </c>
      <c r="U19" s="26">
        <f t="shared" si="0"/>
        <v>9.3377909262980979E-2</v>
      </c>
    </row>
    <row r="20" spans="3:21" ht="15.95" customHeight="1" x14ac:dyDescent="0.2">
      <c r="C20" s="2" t="s">
        <v>150</v>
      </c>
      <c r="D20">
        <v>9.25</v>
      </c>
      <c r="E20">
        <v>9.75</v>
      </c>
      <c r="F20">
        <v>20.065899999999999</v>
      </c>
      <c r="G20">
        <v>24.0625</v>
      </c>
      <c r="H20">
        <v>13.14</v>
      </c>
      <c r="I20">
        <v>5.25</v>
      </c>
      <c r="J20">
        <v>720</v>
      </c>
      <c r="K20" s="6">
        <v>107392.8337790923</v>
      </c>
      <c r="L20" s="30">
        <v>40.490714177702628</v>
      </c>
      <c r="M20" s="6">
        <v>499.76656914945079</v>
      </c>
      <c r="N20" s="2">
        <v>15000</v>
      </c>
      <c r="O20" s="2">
        <v>95</v>
      </c>
      <c r="P20">
        <v>100</v>
      </c>
      <c r="Q20">
        <v>200</v>
      </c>
      <c r="R20">
        <v>2</v>
      </c>
      <c r="S20" t="s">
        <v>135</v>
      </c>
      <c r="T20">
        <v>1.6500999999999999</v>
      </c>
      <c r="U20" s="26">
        <f t="shared" si="0"/>
        <v>40.486144517830333</v>
      </c>
    </row>
    <row r="21" spans="3:21" ht="15.95" customHeight="1" x14ac:dyDescent="0.2">
      <c r="C21" s="2" t="s">
        <v>151</v>
      </c>
      <c r="D21">
        <v>9.25</v>
      </c>
      <c r="E21">
        <v>9.75</v>
      </c>
      <c r="F21">
        <v>20.017060000000001</v>
      </c>
      <c r="G21">
        <v>21.5625</v>
      </c>
      <c r="H21">
        <v>10.4</v>
      </c>
      <c r="I21">
        <v>5.25</v>
      </c>
      <c r="J21">
        <v>352</v>
      </c>
      <c r="K21" s="6">
        <v>28954.842392212369</v>
      </c>
      <c r="L21" s="30">
        <v>10.917338907168761</v>
      </c>
      <c r="M21" s="6">
        <v>385.03973968563611</v>
      </c>
      <c r="N21" s="2">
        <v>15000</v>
      </c>
      <c r="O21" s="2">
        <v>150</v>
      </c>
      <c r="P21">
        <v>140</v>
      </c>
      <c r="Q21">
        <v>360</v>
      </c>
      <c r="R21">
        <v>5</v>
      </c>
      <c r="T21">
        <v>1.2504</v>
      </c>
      <c r="U21" s="26">
        <f t="shared" si="0"/>
        <v>10.915718417426962</v>
      </c>
    </row>
    <row r="22" spans="3:21" ht="15.95" customHeight="1" x14ac:dyDescent="0.2">
      <c r="C22" s="2" t="s">
        <v>152</v>
      </c>
      <c r="D22">
        <v>9.25</v>
      </c>
      <c r="E22">
        <v>9.75</v>
      </c>
      <c r="F22">
        <v>22.38336</v>
      </c>
      <c r="G22">
        <v>17.4375</v>
      </c>
      <c r="H22">
        <v>6.57</v>
      </c>
      <c r="I22">
        <v>5.25</v>
      </c>
      <c r="J22">
        <v>378</v>
      </c>
      <c r="K22" s="6">
        <v>43266.279255241803</v>
      </c>
      <c r="L22" s="30">
        <v>16.31463396156326</v>
      </c>
      <c r="M22" s="6">
        <v>282.77090472812182</v>
      </c>
      <c r="N22" s="2">
        <v>15000</v>
      </c>
      <c r="O22" s="2">
        <v>150</v>
      </c>
      <c r="P22">
        <v>95</v>
      </c>
      <c r="Q22">
        <v>240</v>
      </c>
      <c r="R22">
        <v>5</v>
      </c>
      <c r="T22">
        <v>1.6032999999999999</v>
      </c>
      <c r="U22" s="26">
        <f t="shared" si="0"/>
        <v>16.311003006771855</v>
      </c>
    </row>
    <row r="23" spans="3:21" ht="15.95" customHeight="1" x14ac:dyDescent="0.2">
      <c r="C23" s="2" t="s">
        <v>153</v>
      </c>
      <c r="D23">
        <v>3</v>
      </c>
      <c r="E23">
        <v>3.5</v>
      </c>
      <c r="F23">
        <v>6.76966</v>
      </c>
      <c r="G23">
        <v>12.375</v>
      </c>
      <c r="H23">
        <v>1.6577</v>
      </c>
      <c r="I23">
        <v>5.1875</v>
      </c>
      <c r="J23">
        <v>31</v>
      </c>
      <c r="K23" s="6">
        <v>108.57960911059649</v>
      </c>
      <c r="L23" s="30">
        <v>4.2223736000707883E-2</v>
      </c>
      <c r="M23" s="6">
        <v>6.4548726787340103</v>
      </c>
      <c r="N23" s="2">
        <v>13800</v>
      </c>
      <c r="O23" s="2">
        <v>95</v>
      </c>
      <c r="P23">
        <v>100</v>
      </c>
      <c r="Q23">
        <v>325</v>
      </c>
      <c r="R23">
        <v>10</v>
      </c>
      <c r="T23">
        <v>0.83089999999999997</v>
      </c>
      <c r="U23" s="26">
        <f t="shared" si="0"/>
        <v>4.0933548277380161E-2</v>
      </c>
    </row>
    <row r="24" spans="3:21" ht="15.95" customHeight="1" x14ac:dyDescent="0.2">
      <c r="C24" s="2" t="s">
        <v>154</v>
      </c>
      <c r="D24">
        <v>9.25</v>
      </c>
      <c r="E24">
        <v>9.75</v>
      </c>
      <c r="F24">
        <v>25.953119999999998</v>
      </c>
      <c r="G24">
        <v>25.125</v>
      </c>
      <c r="H24">
        <v>13.87</v>
      </c>
      <c r="I24">
        <v>5.25</v>
      </c>
      <c r="J24">
        <v>551</v>
      </c>
      <c r="K24" s="6">
        <v>74595.924498027045</v>
      </c>
      <c r="L24" s="30">
        <v>28.123087905318609</v>
      </c>
      <c r="M24" s="6">
        <v>1032.5414989277369</v>
      </c>
      <c r="N24" s="2">
        <v>15000</v>
      </c>
      <c r="O24" s="2">
        <v>95</v>
      </c>
      <c r="P24">
        <v>121</v>
      </c>
      <c r="Q24">
        <v>2100</v>
      </c>
      <c r="R24">
        <v>5</v>
      </c>
      <c r="T24">
        <v>1.179</v>
      </c>
      <c r="U24" s="26">
        <f t="shared" si="0"/>
        <v>28.122001006888876</v>
      </c>
    </row>
    <row r="25" spans="3:21" ht="15.95" customHeight="1" x14ac:dyDescent="0.2">
      <c r="C25" s="2" t="s">
        <v>155</v>
      </c>
      <c r="D25">
        <v>5</v>
      </c>
      <c r="E25">
        <v>5.625</v>
      </c>
      <c r="F25">
        <v>11.481199999999999</v>
      </c>
      <c r="G25">
        <v>26.875</v>
      </c>
      <c r="H25">
        <v>7.7971000000000004</v>
      </c>
      <c r="I25">
        <v>9.5</v>
      </c>
      <c r="J25">
        <v>2060</v>
      </c>
      <c r="K25" s="6">
        <v>496255.04222062079</v>
      </c>
      <c r="L25" s="30">
        <v>187.4220907353222</v>
      </c>
      <c r="M25" s="6">
        <v>72.77121337076683</v>
      </c>
      <c r="N25" s="2">
        <v>25000</v>
      </c>
      <c r="O25" s="2">
        <v>150</v>
      </c>
      <c r="P25">
        <v>2.6</v>
      </c>
      <c r="Q25">
        <v>64</v>
      </c>
      <c r="R25">
        <v>10</v>
      </c>
      <c r="T25">
        <v>6.3E-2</v>
      </c>
      <c r="U25" s="26">
        <f t="shared" si="0"/>
        <v>187.08374339366338</v>
      </c>
    </row>
    <row r="26" spans="3:21" ht="15.95" customHeight="1" x14ac:dyDescent="0.2">
      <c r="C26" s="2" t="s">
        <v>156</v>
      </c>
      <c r="D26">
        <v>6</v>
      </c>
      <c r="E26">
        <v>6.5</v>
      </c>
      <c r="F26">
        <v>15.6516</v>
      </c>
      <c r="G26">
        <v>19.172999999999998</v>
      </c>
      <c r="H26">
        <v>7.36</v>
      </c>
      <c r="I26">
        <v>5.25</v>
      </c>
      <c r="J26">
        <v>78</v>
      </c>
      <c r="K26" s="6">
        <v>1027.8431112928729</v>
      </c>
      <c r="L26" s="30">
        <v>0.38759438837468158</v>
      </c>
      <c r="M26" s="6">
        <v>216.593198862397</v>
      </c>
      <c r="N26" s="2">
        <v>15000</v>
      </c>
      <c r="O26" s="2">
        <v>95</v>
      </c>
      <c r="P26">
        <v>450</v>
      </c>
      <c r="Q26">
        <v>450</v>
      </c>
      <c r="R26">
        <v>10</v>
      </c>
      <c r="T26">
        <v>1.7604</v>
      </c>
      <c r="U26" s="26">
        <f t="shared" si="0"/>
        <v>0.38748772409766785</v>
      </c>
    </row>
    <row r="27" spans="3:21" ht="15.95" customHeight="1" x14ac:dyDescent="0.2">
      <c r="C27" s="2" t="s">
        <v>157</v>
      </c>
      <c r="D27">
        <v>4.625</v>
      </c>
      <c r="E27">
        <v>5</v>
      </c>
      <c r="F27">
        <v>7.9580000000000002</v>
      </c>
      <c r="G27">
        <v>5.1609999999999996</v>
      </c>
      <c r="H27">
        <v>3.6720000000000002</v>
      </c>
      <c r="I27">
        <v>0.5</v>
      </c>
      <c r="J27">
        <v>42</v>
      </c>
      <c r="K27" s="6">
        <v>221.04593837958481</v>
      </c>
      <c r="L27" s="30">
        <v>8.3775481413147626E-2</v>
      </c>
      <c r="M27" s="6">
        <v>22.776181640468781</v>
      </c>
      <c r="N27" s="2">
        <v>600</v>
      </c>
      <c r="O27" s="2">
        <v>10</v>
      </c>
      <c r="P27">
        <v>36</v>
      </c>
      <c r="Q27">
        <v>1500</v>
      </c>
      <c r="R27">
        <v>10</v>
      </c>
      <c r="T27">
        <v>0.80859999999999999</v>
      </c>
      <c r="U27" s="26">
        <f t="shared" si="0"/>
        <v>8.3332355534299893E-2</v>
      </c>
    </row>
    <row r="28" spans="3:21" ht="15.95" customHeight="1" x14ac:dyDescent="0.2">
      <c r="C28" s="2" t="s">
        <v>158</v>
      </c>
      <c r="D28">
        <v>4.625</v>
      </c>
      <c r="E28">
        <v>5</v>
      </c>
      <c r="F28">
        <v>9.6845999999999997</v>
      </c>
      <c r="G28">
        <v>13.7325</v>
      </c>
      <c r="H28">
        <v>7.3490000000000002</v>
      </c>
      <c r="I28">
        <v>2.75</v>
      </c>
      <c r="J28">
        <v>102</v>
      </c>
      <c r="K28" s="6">
        <v>1008.603596773627</v>
      </c>
      <c r="L28" s="30">
        <v>0.38060764954215681</v>
      </c>
      <c r="M28" s="6">
        <v>88.085375025832732</v>
      </c>
      <c r="N28" s="2">
        <v>4160</v>
      </c>
      <c r="O28" s="2">
        <v>60</v>
      </c>
      <c r="P28">
        <v>173</v>
      </c>
      <c r="Q28">
        <v>2086</v>
      </c>
      <c r="R28">
        <v>10</v>
      </c>
      <c r="U28" s="26">
        <f t="shared" si="0"/>
        <v>0.38023459800099224</v>
      </c>
    </row>
    <row r="29" spans="3:21" ht="15.95" customHeight="1" x14ac:dyDescent="0.2">
      <c r="C29" s="2" t="s">
        <v>159</v>
      </c>
      <c r="D29">
        <v>4.625</v>
      </c>
      <c r="E29">
        <v>5</v>
      </c>
      <c r="F29">
        <v>11.762600000000001</v>
      </c>
      <c r="G29">
        <v>14.9375</v>
      </c>
      <c r="H29">
        <v>4.226</v>
      </c>
      <c r="I29">
        <v>5.25</v>
      </c>
      <c r="J29">
        <v>198</v>
      </c>
      <c r="K29" s="6">
        <v>5696.412539938774</v>
      </c>
      <c r="L29" s="30">
        <v>2.1502317111582738</v>
      </c>
      <c r="M29" s="6">
        <v>67.188848947004345</v>
      </c>
      <c r="N29" s="2">
        <v>13800</v>
      </c>
      <c r="O29" s="2">
        <v>95</v>
      </c>
      <c r="P29">
        <v>68</v>
      </c>
      <c r="Q29">
        <v>729</v>
      </c>
      <c r="R29">
        <v>10</v>
      </c>
      <c r="U29" s="26">
        <f t="shared" si="0"/>
        <v>2.1474969344746113</v>
      </c>
    </row>
    <row r="30" spans="3:21" ht="15.95" customHeight="1" x14ac:dyDescent="0.2">
      <c r="C30" s="2" t="s">
        <v>160</v>
      </c>
      <c r="D30">
        <v>4.625</v>
      </c>
      <c r="E30">
        <v>5</v>
      </c>
      <c r="F30">
        <v>11.157400000000001</v>
      </c>
      <c r="G30">
        <v>14.9375</v>
      </c>
      <c r="H30">
        <v>4.1280000000000001</v>
      </c>
      <c r="I30">
        <v>5.25</v>
      </c>
      <c r="J30">
        <v>240</v>
      </c>
      <c r="K30" s="6">
        <v>8183.2582537644485</v>
      </c>
      <c r="L30" s="30">
        <v>3.089922273879949</v>
      </c>
      <c r="M30" s="6">
        <v>57.129760696474463</v>
      </c>
      <c r="N30" s="2">
        <v>12470</v>
      </c>
      <c r="O30" s="2">
        <v>95</v>
      </c>
      <c r="P30">
        <v>58</v>
      </c>
      <c r="Q30">
        <v>582</v>
      </c>
      <c r="R30">
        <v>10</v>
      </c>
      <c r="U30" s="26">
        <f t="shared" si="0"/>
        <v>3.0850156814945318</v>
      </c>
    </row>
    <row r="31" spans="3:21" ht="15.95" customHeight="1" x14ac:dyDescent="0.2">
      <c r="C31" s="2" t="s">
        <v>161</v>
      </c>
      <c r="D31">
        <v>5</v>
      </c>
      <c r="E31">
        <v>5.5</v>
      </c>
      <c r="F31">
        <v>14.2842</v>
      </c>
      <c r="G31">
        <v>16.43</v>
      </c>
      <c r="H31">
        <v>13.17</v>
      </c>
      <c r="I31">
        <v>1</v>
      </c>
      <c r="J31">
        <v>288</v>
      </c>
      <c r="K31" s="6">
        <v>8448.9528724497177</v>
      </c>
      <c r="L31" s="30">
        <v>3.18575708513902</v>
      </c>
      <c r="M31" s="6">
        <v>353.26591240936472</v>
      </c>
      <c r="N31" s="2">
        <v>13800</v>
      </c>
      <c r="O31" s="2">
        <v>95</v>
      </c>
      <c r="P31">
        <v>50</v>
      </c>
      <c r="Q31">
        <v>2500</v>
      </c>
      <c r="R31">
        <v>10</v>
      </c>
      <c r="U31" s="26">
        <f t="shared" si="0"/>
        <v>3.1851801929537298</v>
      </c>
    </row>
    <row r="32" spans="3:21" ht="15.95" customHeight="1" x14ac:dyDescent="0.2">
      <c r="C32" s="2" t="s">
        <v>162</v>
      </c>
      <c r="D32">
        <v>3.5</v>
      </c>
      <c r="E32">
        <v>3.875</v>
      </c>
      <c r="F32">
        <v>9.8827999999999996</v>
      </c>
      <c r="G32">
        <v>12.305</v>
      </c>
      <c r="H32">
        <v>5.681</v>
      </c>
      <c r="I32">
        <v>3</v>
      </c>
      <c r="J32">
        <v>174</v>
      </c>
      <c r="K32" s="6">
        <v>2814.4831692406342</v>
      </c>
      <c r="L32" s="30">
        <v>1.062435918507058</v>
      </c>
      <c r="M32" s="6">
        <v>69.313860679968585</v>
      </c>
      <c r="N32" s="2">
        <v>12470</v>
      </c>
      <c r="O32" s="2">
        <v>95</v>
      </c>
      <c r="P32">
        <v>90</v>
      </c>
      <c r="Q32">
        <v>1207</v>
      </c>
      <c r="R32">
        <v>10</v>
      </c>
      <c r="U32" s="26">
        <f t="shared" si="0"/>
        <v>1.0610351577766193</v>
      </c>
    </row>
    <row r="33" spans="3:21" ht="15.95" customHeight="1" x14ac:dyDescent="0.2">
      <c r="C33" s="2" t="s">
        <v>163</v>
      </c>
      <c r="D33">
        <v>5</v>
      </c>
      <c r="E33">
        <v>5.625</v>
      </c>
      <c r="F33">
        <v>11.365</v>
      </c>
      <c r="G33">
        <v>23.6</v>
      </c>
      <c r="H33">
        <v>8.19</v>
      </c>
      <c r="I33">
        <v>7.5</v>
      </c>
      <c r="J33">
        <v>900</v>
      </c>
      <c r="K33" s="6">
        <v>91408.843582626403</v>
      </c>
      <c r="L33" s="30">
        <v>34.478652306950117</v>
      </c>
      <c r="M33" s="6">
        <v>137.20987052869981</v>
      </c>
      <c r="N33" s="2">
        <v>15000</v>
      </c>
      <c r="O33" s="2">
        <v>125</v>
      </c>
      <c r="P33">
        <v>8.4</v>
      </c>
      <c r="Q33">
        <v>280.3</v>
      </c>
      <c r="R33">
        <v>10</v>
      </c>
      <c r="U33" s="26">
        <f t="shared" si="0"/>
        <v>34.460322176678112</v>
      </c>
    </row>
    <row r="34" spans="3:21" ht="15.95" customHeight="1" x14ac:dyDescent="0.2">
      <c r="C34" s="2" t="s">
        <v>164</v>
      </c>
      <c r="D34">
        <v>7.25</v>
      </c>
      <c r="E34">
        <v>7.75</v>
      </c>
      <c r="F34">
        <v>11.4148</v>
      </c>
      <c r="G34">
        <v>11.695</v>
      </c>
      <c r="H34">
        <v>5.7119999999999997</v>
      </c>
      <c r="I34">
        <v>2.75</v>
      </c>
      <c r="J34">
        <v>123</v>
      </c>
      <c r="K34" s="6">
        <v>2821.2677086715571</v>
      </c>
      <c r="L34" s="30">
        <v>1.064910400847509</v>
      </c>
      <c r="M34" s="6">
        <v>69.219718366539809</v>
      </c>
      <c r="N34" s="2">
        <v>13800</v>
      </c>
      <c r="O34" s="2">
        <v>60</v>
      </c>
      <c r="P34">
        <v>81</v>
      </c>
      <c r="Q34">
        <v>1337</v>
      </c>
      <c r="R34">
        <v>10</v>
      </c>
      <c r="U34" s="26">
        <f t="shared" si="0"/>
        <v>1.0635928688847207</v>
      </c>
    </row>
    <row r="35" spans="3:21" ht="15.95" customHeight="1" x14ac:dyDescent="0.2">
      <c r="C35" s="2" t="s">
        <v>165</v>
      </c>
      <c r="D35">
        <v>5</v>
      </c>
      <c r="E35">
        <v>5.625</v>
      </c>
      <c r="F35">
        <v>10.37072</v>
      </c>
      <c r="G35">
        <v>23.625</v>
      </c>
      <c r="H35">
        <v>4.5419999999999998</v>
      </c>
      <c r="I35">
        <v>9.5</v>
      </c>
      <c r="J35">
        <v>1079</v>
      </c>
      <c r="K35" s="6">
        <v>168107.0303015594</v>
      </c>
      <c r="L35" s="30">
        <v>63.614224172118277</v>
      </c>
      <c r="M35" s="6">
        <v>35.642166005019313</v>
      </c>
      <c r="N35" s="2">
        <v>13200</v>
      </c>
      <c r="O35" s="2">
        <v>150</v>
      </c>
      <c r="P35">
        <v>4.4000000000000004</v>
      </c>
      <c r="Q35">
        <v>110</v>
      </c>
      <c r="R35">
        <v>10</v>
      </c>
      <c r="U35" s="26">
        <f t="shared" si="0"/>
        <v>63.37485736946109</v>
      </c>
    </row>
    <row r="36" spans="3:21" ht="15.95" customHeight="1" x14ac:dyDescent="0.2">
      <c r="C36" s="2" t="s">
        <v>166</v>
      </c>
      <c r="D36">
        <v>8.625</v>
      </c>
      <c r="E36">
        <v>9.375</v>
      </c>
      <c r="F36">
        <v>15.0771</v>
      </c>
      <c r="G36">
        <v>18.732500000000002</v>
      </c>
      <c r="H36">
        <v>6.1980000000000004</v>
      </c>
      <c r="I36">
        <v>6</v>
      </c>
      <c r="J36">
        <v>275</v>
      </c>
      <c r="K36" s="6">
        <v>18771.990605138781</v>
      </c>
      <c r="L36" s="30">
        <v>7.0824370628203024</v>
      </c>
      <c r="M36" s="6">
        <v>106.6246830451845</v>
      </c>
      <c r="N36" s="2">
        <v>12470</v>
      </c>
      <c r="O36" s="2">
        <v>95</v>
      </c>
      <c r="P36">
        <v>37.1</v>
      </c>
      <c r="Q36">
        <v>926</v>
      </c>
      <c r="R36">
        <v>10</v>
      </c>
      <c r="U36" s="26">
        <f t="shared" si="0"/>
        <v>7.0768737334032732</v>
      </c>
    </row>
    <row r="37" spans="3:21" ht="15.95" customHeight="1" x14ac:dyDescent="0.2">
      <c r="C37" s="28" t="s">
        <v>167</v>
      </c>
      <c r="D37" s="31">
        <v>8.5</v>
      </c>
      <c r="E37" s="31">
        <v>9.375</v>
      </c>
      <c r="F37" s="31">
        <v>23.88317</v>
      </c>
      <c r="G37" s="31">
        <v>28.0625</v>
      </c>
      <c r="H37" s="31">
        <v>8.6801999999999992</v>
      </c>
      <c r="I37" s="31">
        <v>9.5</v>
      </c>
      <c r="J37" s="31">
        <v>391</v>
      </c>
      <c r="K37" s="6">
        <v>42290.719056891219</v>
      </c>
      <c r="L37" s="30">
        <v>15.94553305295498</v>
      </c>
      <c r="M37" s="32">
        <v>412.21724333189638</v>
      </c>
      <c r="N37" s="28">
        <v>15000</v>
      </c>
      <c r="O37" s="28">
        <v>150</v>
      </c>
      <c r="P37" s="31">
        <v>100</v>
      </c>
      <c r="Q37" s="31">
        <v>1178</v>
      </c>
      <c r="R37" s="31">
        <v>5</v>
      </c>
      <c r="U37" s="26">
        <f t="shared" si="0"/>
        <v>15.943225476499119</v>
      </c>
    </row>
    <row r="38" spans="3:21" ht="15.95" customHeight="1" x14ac:dyDescent="0.2">
      <c r="C38" s="28" t="s">
        <v>168</v>
      </c>
      <c r="D38">
        <v>4.625</v>
      </c>
      <c r="E38">
        <v>5</v>
      </c>
      <c r="F38" s="31">
        <v>10.775969999999999</v>
      </c>
      <c r="G38" s="31">
        <v>9.6875</v>
      </c>
      <c r="H38" s="31">
        <v>3.9626999999999999</v>
      </c>
      <c r="I38" s="31">
        <v>2.75</v>
      </c>
      <c r="J38" s="31">
        <v>221</v>
      </c>
      <c r="K38" s="6">
        <v>6913.2688010218726</v>
      </c>
      <c r="L38" s="30">
        <v>2.6102974626610851</v>
      </c>
      <c r="M38" s="32">
        <v>55.263401091589792</v>
      </c>
      <c r="N38" s="28">
        <v>13200</v>
      </c>
      <c r="O38" s="2">
        <v>60</v>
      </c>
      <c r="P38" s="31">
        <v>57</v>
      </c>
      <c r="Q38" s="31">
        <v>702</v>
      </c>
      <c r="R38" s="5">
        <v>10</v>
      </c>
      <c r="U38" s="26">
        <f t="shared" si="0"/>
        <v>2.6062409373098201</v>
      </c>
    </row>
    <row r="39" spans="3:21" ht="15.95" customHeight="1" x14ac:dyDescent="0.2">
      <c r="C39" s="2" t="s">
        <v>169</v>
      </c>
      <c r="D39" s="31">
        <v>7.25</v>
      </c>
      <c r="E39" s="31">
        <v>7.75</v>
      </c>
      <c r="F39" s="5">
        <v>11.295199999999999</v>
      </c>
      <c r="G39" s="5">
        <v>11.875</v>
      </c>
      <c r="H39" s="5">
        <v>5.78</v>
      </c>
      <c r="I39" s="5">
        <v>2.75</v>
      </c>
      <c r="J39" s="5">
        <v>110</v>
      </c>
      <c r="K39" s="6">
        <v>2267.973121363977</v>
      </c>
      <c r="L39" s="30">
        <v>0.84249329023514385</v>
      </c>
      <c r="M39" s="6">
        <v>70.04148639894261</v>
      </c>
      <c r="N39" s="2">
        <v>13800</v>
      </c>
      <c r="O39" s="2">
        <v>60</v>
      </c>
      <c r="P39">
        <v>81</v>
      </c>
      <c r="Q39">
        <v>1623</v>
      </c>
      <c r="R39">
        <v>10</v>
      </c>
      <c r="U39" s="26">
        <f t="shared" si="0"/>
        <v>0.85500572359394189</v>
      </c>
    </row>
    <row r="40" spans="3:21" ht="15.95" customHeight="1" x14ac:dyDescent="0.2">
      <c r="C40" s="2" t="s">
        <v>170</v>
      </c>
      <c r="D40" s="31"/>
      <c r="E40" s="31">
        <v>34.5</v>
      </c>
      <c r="F40" s="5">
        <v>41.080300000000001</v>
      </c>
      <c r="G40" s="5">
        <v>4.5</v>
      </c>
      <c r="H40" s="5">
        <v>3.25</v>
      </c>
      <c r="I40" s="5">
        <v>0.625</v>
      </c>
      <c r="J40" s="5">
        <v>14</v>
      </c>
      <c r="K40" s="6">
        <v>318.94211026758762</v>
      </c>
      <c r="L40" s="30">
        <v>0.12025793571529229</v>
      </c>
      <c r="M40" s="6">
        <v>340.25072621206817</v>
      </c>
      <c r="N40" s="2"/>
      <c r="O40" s="2"/>
      <c r="P40">
        <v>100</v>
      </c>
      <c r="Q40">
        <v>16000</v>
      </c>
      <c r="R40">
        <v>0.1</v>
      </c>
      <c r="U40" s="26">
        <f t="shared" si="0"/>
        <v>0.12023834286444948</v>
      </c>
    </row>
    <row r="41" spans="3:21" ht="15.95" customHeight="1" x14ac:dyDescent="0.2">
      <c r="C41" s="2" t="s">
        <v>171</v>
      </c>
      <c r="D41" s="31">
        <v>4.625</v>
      </c>
      <c r="E41" s="31">
        <v>5</v>
      </c>
      <c r="F41" s="5">
        <v>11.177379999999999</v>
      </c>
      <c r="G41" s="5">
        <v>9.9375</v>
      </c>
      <c r="H41" s="5">
        <v>4.1280000000000001</v>
      </c>
      <c r="I41" s="5">
        <v>2.75</v>
      </c>
      <c r="J41" s="5">
        <v>256</v>
      </c>
      <c r="K41" s="6">
        <v>9320.5999144886791</v>
      </c>
      <c r="L41" s="30">
        <v>3.5186973682845739</v>
      </c>
      <c r="M41" s="6">
        <v>61.013673779296148</v>
      </c>
      <c r="N41" s="2">
        <v>13200</v>
      </c>
      <c r="O41" s="2">
        <v>60</v>
      </c>
      <c r="P41">
        <v>55</v>
      </c>
      <c r="Q41">
        <v>616</v>
      </c>
      <c r="R41">
        <v>10</v>
      </c>
      <c r="U41" s="26">
        <f t="shared" si="0"/>
        <v>3.5137833862088748</v>
      </c>
    </row>
    <row r="42" spans="3:21" ht="15.95" customHeight="1" x14ac:dyDescent="0.2">
      <c r="C42" s="2" t="s">
        <v>172</v>
      </c>
      <c r="D42" s="31">
        <v>7.875</v>
      </c>
      <c r="E42" s="31">
        <v>8.375</v>
      </c>
      <c r="F42" s="5">
        <v>19.708200000000001</v>
      </c>
      <c r="G42" s="5">
        <v>20.5</v>
      </c>
      <c r="H42" s="5">
        <v>14.175000000000001</v>
      </c>
      <c r="I42" s="5">
        <v>2.875</v>
      </c>
      <c r="J42" s="5">
        <v>560.5</v>
      </c>
      <c r="K42" s="6">
        <v>54727.248137627008</v>
      </c>
      <c r="L42" s="30">
        <v>20.636665749518968</v>
      </c>
      <c r="M42" s="6">
        <v>177.65724745779389</v>
      </c>
      <c r="N42" s="2">
        <v>13800</v>
      </c>
      <c r="O42" s="2">
        <v>60</v>
      </c>
      <c r="P42">
        <v>100</v>
      </c>
      <c r="Q42">
        <v>600</v>
      </c>
      <c r="R42">
        <v>10</v>
      </c>
      <c r="U42" s="26">
        <f t="shared" si="0"/>
        <v>20.631686484042561</v>
      </c>
    </row>
    <row r="43" spans="3:21" ht="15.95" customHeight="1" x14ac:dyDescent="0.2">
      <c r="C43" s="2" t="s">
        <v>173</v>
      </c>
      <c r="D43" s="31">
        <v>3.5</v>
      </c>
      <c r="E43" s="31">
        <v>3.875</v>
      </c>
      <c r="F43" s="5">
        <v>11.8612</v>
      </c>
      <c r="G43" s="5">
        <v>12.4375</v>
      </c>
      <c r="H43" s="5">
        <v>5.9640000000000004</v>
      </c>
      <c r="I43" s="5">
        <v>3</v>
      </c>
      <c r="J43" s="5">
        <v>164</v>
      </c>
      <c r="K43" s="6">
        <v>2841.109360136028</v>
      </c>
      <c r="L43" s="30">
        <v>1.0743151321270401</v>
      </c>
      <c r="M43" s="6">
        <v>25.956643682182641</v>
      </c>
      <c r="N43" s="2">
        <v>12470</v>
      </c>
      <c r="O43" s="2">
        <v>95</v>
      </c>
      <c r="P43">
        <v>90</v>
      </c>
      <c r="Q43">
        <v>1207</v>
      </c>
      <c r="R43">
        <v>10</v>
      </c>
      <c r="U43" s="26">
        <f t="shared" si="0"/>
        <v>1.0710729952618252</v>
      </c>
    </row>
    <row r="44" spans="3:21" ht="15.95" customHeight="1" x14ac:dyDescent="0.2">
      <c r="C44" s="2" t="s">
        <v>174</v>
      </c>
      <c r="D44" s="31">
        <v>9</v>
      </c>
      <c r="E44" s="31">
        <v>9.0399999999999991</v>
      </c>
      <c r="F44" s="5">
        <v>12.5464</v>
      </c>
      <c r="G44" s="5">
        <v>11.375</v>
      </c>
      <c r="H44" s="5">
        <v>5.4749999999999996</v>
      </c>
      <c r="I44" s="5">
        <v>2.75</v>
      </c>
      <c r="J44" s="5">
        <v>118</v>
      </c>
      <c r="K44" s="6">
        <v>3270.7056129069051</v>
      </c>
      <c r="L44" s="30">
        <v>1.2356995961239849</v>
      </c>
      <c r="M44" s="6">
        <v>52.692327262037168</v>
      </c>
      <c r="N44" s="2">
        <v>12470</v>
      </c>
      <c r="O44" s="2">
        <v>60</v>
      </c>
      <c r="P44">
        <v>87</v>
      </c>
      <c r="Q44">
        <v>1038</v>
      </c>
      <c r="R44">
        <v>10</v>
      </c>
      <c r="U44" s="26">
        <f t="shared" si="0"/>
        <v>1.2330269670675884</v>
      </c>
    </row>
    <row r="45" spans="3:21" ht="15.95" customHeight="1" x14ac:dyDescent="0.2">
      <c r="C45" s="2" t="s">
        <v>175</v>
      </c>
      <c r="D45" s="31">
        <v>9</v>
      </c>
      <c r="E45" s="31">
        <v>9.0399999999999991</v>
      </c>
      <c r="F45" s="5">
        <v>12.8368</v>
      </c>
      <c r="G45" s="5">
        <v>11.75</v>
      </c>
      <c r="H45" s="5">
        <v>5.84</v>
      </c>
      <c r="I45" s="5">
        <v>2.75</v>
      </c>
      <c r="J45" s="5">
        <v>141</v>
      </c>
      <c r="K45" s="6">
        <v>4558.7427049026046</v>
      </c>
      <c r="L45" s="30">
        <v>1.7214182639459641</v>
      </c>
      <c r="M45" s="6">
        <v>63.809899693398073</v>
      </c>
      <c r="N45" s="2">
        <v>12470</v>
      </c>
      <c r="O45" s="2">
        <v>60</v>
      </c>
      <c r="P45">
        <v>80</v>
      </c>
      <c r="Q45">
        <v>765</v>
      </c>
      <c r="R45">
        <v>10</v>
      </c>
      <c r="U45" s="26">
        <f t="shared" si="0"/>
        <v>1.7186055109593703</v>
      </c>
    </row>
    <row r="46" spans="3:21" ht="15.95" customHeight="1" x14ac:dyDescent="0.2">
      <c r="C46" s="2" t="s">
        <v>176</v>
      </c>
      <c r="D46">
        <v>9</v>
      </c>
      <c r="E46">
        <v>9.0399999999999991</v>
      </c>
      <c r="F46">
        <v>25.810479999999998</v>
      </c>
      <c r="G46">
        <v>21.6875</v>
      </c>
      <c r="H46">
        <v>8.3027999999999995</v>
      </c>
      <c r="I46">
        <v>6.5</v>
      </c>
      <c r="J46">
        <v>460</v>
      </c>
      <c r="K46" s="6">
        <v>60942.848881476617</v>
      </c>
      <c r="L46" s="30">
        <v>22.97734063249769</v>
      </c>
      <c r="M46" s="6">
        <v>507.56962794381388</v>
      </c>
      <c r="N46">
        <v>13800</v>
      </c>
      <c r="P46">
        <v>100</v>
      </c>
      <c r="Q46">
        <v>1200</v>
      </c>
      <c r="R46">
        <v>1</v>
      </c>
      <c r="U46" s="26"/>
    </row>
    <row r="47" spans="3:21" ht="15.95" customHeight="1" x14ac:dyDescent="0.2">
      <c r="C47" s="2" t="s">
        <v>177</v>
      </c>
      <c r="D47">
        <v>11.5</v>
      </c>
      <c r="E47">
        <v>12.25</v>
      </c>
      <c r="F47">
        <v>17.120940000000001</v>
      </c>
      <c r="G47">
        <v>12.0625</v>
      </c>
      <c r="H47">
        <v>10.565</v>
      </c>
      <c r="I47">
        <v>0.625</v>
      </c>
      <c r="J47">
        <v>300</v>
      </c>
      <c r="K47" s="6">
        <v>23743.283703668541</v>
      </c>
      <c r="L47" s="30">
        <v>8.9556221280499066</v>
      </c>
      <c r="M47" s="6">
        <v>178.16068257306969</v>
      </c>
      <c r="N47">
        <v>11000</v>
      </c>
      <c r="O47" s="6">
        <v>110</v>
      </c>
      <c r="P47">
        <v>464</v>
      </c>
      <c r="Q47" s="6">
        <v>1160</v>
      </c>
      <c r="U47" s="26"/>
    </row>
    <row r="48" spans="3:21" ht="15.95" customHeight="1" x14ac:dyDescent="0.2">
      <c r="C48" s="2" t="s">
        <v>178</v>
      </c>
      <c r="E48">
        <v>4.875</v>
      </c>
      <c r="F48">
        <v>6.6482999999999999</v>
      </c>
      <c r="G48">
        <v>2.25</v>
      </c>
      <c r="H48">
        <v>2.1762000000000001</v>
      </c>
      <c r="I48">
        <v>0</v>
      </c>
      <c r="J48">
        <v>615</v>
      </c>
      <c r="K48" s="6">
        <v>54903.992218673222</v>
      </c>
      <c r="L48" s="30">
        <v>23.672877547726142</v>
      </c>
      <c r="M48" s="6">
        <v>2.8838375603548458</v>
      </c>
      <c r="N48">
        <v>25000</v>
      </c>
      <c r="P48">
        <v>1</v>
      </c>
    </row>
    <row r="49" spans="3:18" ht="15.95" customHeight="1" x14ac:dyDescent="0.2">
      <c r="C49" s="2" t="s">
        <v>179</v>
      </c>
      <c r="D49">
        <v>8.125</v>
      </c>
      <c r="E49">
        <v>9</v>
      </c>
      <c r="F49">
        <v>22.979839999999999</v>
      </c>
      <c r="G49">
        <v>17.75</v>
      </c>
      <c r="H49">
        <v>14.96</v>
      </c>
      <c r="I49">
        <v>1</v>
      </c>
      <c r="J49">
        <v>360</v>
      </c>
      <c r="K49" s="6">
        <v>26285.3786315943</v>
      </c>
      <c r="L49" s="30">
        <v>9.9122607265624794</v>
      </c>
      <c r="M49" s="6">
        <v>364.73659435232571</v>
      </c>
      <c r="N49">
        <v>15000</v>
      </c>
      <c r="P49">
        <v>100</v>
      </c>
      <c r="Q49">
        <v>1200</v>
      </c>
      <c r="R49">
        <v>2</v>
      </c>
    </row>
  </sheetData>
  <pageMargins left="0.75" right="0.75" top="1" bottom="1" header="0.5" footer="0.5"/>
  <pageSetup firstPageNumber="0" orientation="portrait" horizontalDpi="300" verticalDpi="300"/>
  <headerFooter alignWithMargins="0">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Design</vt:lpstr>
      <vt:lpstr>Layer 60</vt:lpstr>
      <vt:lpstr>800815 for ref</vt:lpstr>
      <vt:lpstr>Reactor Stats</vt:lpstr>
      <vt:lpstr>'800815 for ref'!Print_Area</vt:lpstr>
      <vt:lpstr>Design!Print_Area</vt:lpstr>
      <vt:lpstr>'Layer 60'!Print_Area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Martin</dc:creator>
  <cp:lastModifiedBy>Eric Scandora</cp:lastModifiedBy>
  <cp:lastPrinted>2026-01-05T16:55:59Z</cp:lastPrinted>
  <dcterms:created xsi:type="dcterms:W3CDTF">2023-06-28T18:57:08Z</dcterms:created>
  <dcterms:modified xsi:type="dcterms:W3CDTF">2026-03-24T15:28:59Z</dcterms:modified>
</cp:coreProperties>
</file>